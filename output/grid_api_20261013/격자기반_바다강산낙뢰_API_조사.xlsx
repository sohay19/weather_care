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48e850cf2e49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항목별 판단" sheetId="1" r:id="R4aa5a8c154654e44"/>
    <x:sheet xmlns:r="http://schemas.openxmlformats.org/officeDocument/2006/relationships" name="API 호출 산정" sheetId="2" r:id="Ra2cb1027932b413d"/>
    <x:sheet xmlns:r="http://schemas.openxmlformats.org/officeDocument/2006/relationships" name="근거와 가정" sheetId="3" r:id="R57a426a456e149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4">
    <x:font>
      <x:sz val="11"/>
      <x:name val="Carlito"/>
    </x:font>
    <x:font>
      <x:sz val="10"/>
      <x:color rgb="FF1F2937"/>
      <x:name val="Arial"/>
    </x:font>
    <x:font>
      <x:b/>
      <x:sz val="15"/>
      <x:color rgb="FF17365D"/>
      <x:name val="Arial"/>
    </x:font>
    <x:font>
      <x:b/>
      <x:sz val="10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0C2"/>
      </x:patternFill>
    </x:fill>
    <x:fill>
      <x:patternFill patternType="solid">
        <x:fgColor rgb="FFEAF1F8"/>
      </x:patternFill>
    </x:fill>
    <x:fill>
      <x:patternFill patternType="solid">
        <x:fgColor rgb="FFFBE4E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d1ecaed30c4bb8" /><Relationship Type="http://schemas.openxmlformats.org/officeDocument/2006/relationships/theme" Target="/xl/theme/theme1.xml" Id="R4d22878409224c4c" /><Relationship Type="http://schemas.openxmlformats.org/officeDocument/2006/relationships/sharedStrings" Target="/xl/sharedStrings.xml" Id="R09901e3570624a73" /><Relationship Type="http://schemas.openxmlformats.org/officeDocument/2006/relationships/worksheet" Target="/xl/worksheets/sheet1.xml" Id="R4aa5a8c154654e44" /><Relationship Type="http://schemas.openxmlformats.org/officeDocument/2006/relationships/worksheet" Target="/xl/worksheets/sheet2.xml" Id="Ra2cb1027932b413d" /><Relationship Type="http://schemas.openxmlformats.org/officeDocument/2006/relationships/worksheet" Target="/xl/worksheets/sheet3.xml" Id="R57a426a456e1492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0" hidden="0" customWidth="1"/>
    <x:col min="2" max="2" width="18" hidden="0" customWidth="1"/>
    <x:col min="3" max="3" width="13" hidden="0" customWidth="1"/>
    <x:col min="4" max="4" width="30" hidden="0" customWidth="1"/>
    <x:col min="5" max="5" width="29" hidden="0" customWidth="1"/>
    <x:col min="6" max="6" width="34" hidden="0" customWidth="1"/>
    <x:col min="7" max="7" width="15" hidden="0" customWidth="1"/>
    <x:col min="8" max="8" width="29" hidden="0" customWidth="1"/>
    <x:col min="9" max="9" width="34" hidden="0" customWidth="1"/>
    <x:col min="10" max="10" width="16" hidden="0" customWidth="1"/>
    <x:col min="11" max="11" width="16" hidden="0" customWidth="1"/>
    <x:col min="12" max="12" width="40" hidden="0" customWidth="1"/>
    <x:col min="13" max="13" width="18" hidden="0" customWidth="1"/>
    <x:col min="14" max="14" width="40" hidden="0" customWidth="1"/>
    <x:col min="15" max="15" width="37" hidden="0" customWidth="1"/>
    <x:col min="16" max="16" width="13" hidden="0" customWidth="1"/>
  </x:cols>
  <x:sheetData>
    <x:row r="1" ht="1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>
      <x:c r="A2" s="3" t="str">
        <x:v>격자 기반 날씨 항목 API 조사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</x:row>
    <x:row r="3">
      <x:c r="A3" s="2" t="str">
        <x:v>기준: 2026-10-13, 기상청 nx/ny 전국 원본판 149×253=37,697셀. 지점 자료는 해당 지점이 있는 격자 또는 명시한 주변 시설에만 연결한다.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</x:row>
    <x:row r="4">
      <x:c r="A4" s="2" t="str">
        <x:v>판정: 격자 전체에 실제 값을 줄 수 있는 항목은 제한적이다. 같은 API를 공유하는 항목의 호출 수는 행별로 반복 표기하지만 API 호출 산정 탭의 총합에서는 한 번만 센다.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</x:row>
    <x:row r="6" ht="36" customHeight="1">
      <x:c r="A6" s="7" t="str">
        <x:v>분류</x:v>
      </x:c>
      <x:c r="B6" s="7" t="str">
        <x:v>항목명</x:v>
      </x:c>
      <x:c r="C6" s="7" t="str">
        <x:v>추가 상태</x:v>
      </x:c>
      <x:c r="D6" s="7" t="str">
        <x:v>격자 적용 방식</x:v>
      </x:c>
      <x:c r="E6" s="7" t="str">
        <x:v>현재·지난 시간대별 안내</x:v>
      </x:c>
      <x:c r="F6" s="7" t="str">
        <x:v>현재·지난 API 호출정보</x:v>
      </x:c>
      <x:c r="G6" s="7" t="str">
        <x:v>관측 호출/일</x:v>
      </x:c>
      <x:c r="H6" s="7" t="str">
        <x:v>미래 시간대별 안내</x:v>
      </x:c>
      <x:c r="I6" s="7" t="str">
        <x:v>미래 API 호출정보</x:v>
      </x:c>
      <x:c r="J6" s="7" t="str">
        <x:v>예보 호출/일</x:v>
      </x:c>
      <x:c r="K6" s="7" t="str">
        <x:v>둘 다 가능 시 합계/일</x:v>
      </x:c>
      <x:c r="L6" s="7" t="str">
        <x:v>한도 문제</x:v>
      </x:c>
      <x:c r="M6" s="7" t="str">
        <x:v>제공처</x:v>
      </x:c>
      <x:c r="N6" s="7" t="str">
        <x:v>자료 범위·표시 주의</x:v>
      </x:c>
      <x:c r="O6" s="7" t="str">
        <x:v>추가 신청·확인</x:v>
      </x:c>
      <x:c r="P6" s="7" t="str">
        <x:v>근거</x:v>
      </x:c>
      <x:c r="Q6" s="2"/>
    </x:row>
    <x:row r="7" ht="55" customHeight="1">
      <x:c r="A7" s="8" t="str">
        <x:v>바다</x:v>
      </x:c>
      <x:c r="B7" s="8" t="str">
        <x:v>수온</x:v>
      </x:c>
      <x:c r="C7" s="8" t="str">
        <x:v>검토</x:v>
      </x:c>
      <x:c r="D7" s="8" t="str">
        <x:v>관측 지점 격자 한정; 예측 해역 격자 대응</x:v>
      </x:c>
      <x:c r="E7" s="8" t="str">
        <x:v>가능: 지점 관측 시계열</x:v>
      </x:c>
      <x:c r="F7" s="8" t="str">
        <x:v>해양부이 40곳×24회; 수온·유향·유속 공유</x:v>
      </x:c>
      <x:c r="G7" s="15" t="n">
        <x:f>'API 호출 산정'!F7</x:f>
        <x:v>960</x:v>
      </x:c>
      <x:c r="H7" s="15" t="str">
        <x:v>가능: 모델값</x:v>
      </x:c>
      <x:c r="I7" s="15" t="str">
        <x:v>ROMS 10해역×24미래시각 가정</x:v>
      </x:c>
      <x:c r="J7" s="15" t="n">
        <x:f>'API 호출 산정'!F10</x:f>
        <x:v>240</x:v>
      </x:c>
      <x:c r="K7" s="15" t="n">
        <x:f>G7+J7</x:f>
        <x:v>1200</x:v>
      </x:c>
      <x:c r="L7" s="10" t="str">
        <x:v>KHOA 각 API 1만 회 기준 수치는 여유; bbox/용량 미검증</x:v>
      </x:c>
      <x:c r="M7" s="8" t="str">
        <x:v>국립해양조사원</x:v>
      </x:c>
      <x:c r="N7" s="8" t="str">
        <x:v>관측 없는 바다 격자에 관측값 생성 금지</x:v>
      </x:c>
      <x:c r="O7" s="8" t="str">
        <x:v>부이 최신관측·ROMS 활용신청, 공간 범위 실측</x:v>
      </x:c>
      <x:c r="P7" s="8" t="str">
        <x:v>S2,S5</x:v>
      </x:c>
      <x:c r="Q7" s="2"/>
    </x:row>
    <x:row r="8" ht="55" customHeight="1">
      <x:c r="A8" s="8" t="str">
        <x:v>바다</x:v>
      </x:c>
      <x:c r="B8" s="8" t="str">
        <x:v>만조/간조</x:v>
      </x:c>
      <x:c r="C8" s="8" t="str">
        <x:v>검토</x:v>
      </x:c>
      <x:c r="D8" s="8" t="str">
        <x:v>예보지점 연안 격자 한정</x:v>
      </x:c>
      <x:c r="E8" s="8" t="str">
        <x:v>관측 극값의 시간별 API 미확인</x:v>
      </x:c>
      <x:c r="F8" s="8" t="str">
        <x:v>관측 조위에서 극값 산출 시 별도 검증 필요</x:v>
      </x:c>
      <x:c r="G8" s="15"/>
      <x:c r="H8" s="15" t="str">
        <x:v>부분 가능: 일별 고·저조 시각 이벤트</x:v>
      </x:c>
      <x:c r="I8" s="15" t="str">
        <x:v>예보지점 50곳×요청일 1회</x:v>
      </x:c>
      <x:c r="J8" s="15" t="n">
        <x:f>'API 호출 산정'!F8</x:f>
        <x:v>50</x:v>
      </x:c>
      <x:c r="K8" s="15"/>
      <x:c r="L8" s="10" t="str">
        <x:v>건수상 여유; 모든 해안 격자 보장 불가</x:v>
      </x:c>
      <x:c r="M8" s="8" t="str">
        <x:v>국립해양조사원</x:v>
      </x:c>
      <x:c r="N8" s="8" t="str">
        <x:v>실제 만·간조와 예측 이벤트를 혼동 금지</x:v>
      </x:c>
      <x:c r="O8" s="8" t="str">
        <x:v>고·저조 예보 활용신청, 지점-격자 매핑</x:v>
      </x:c>
      <x:c r="P8" s="8" t="str">
        <x:v>S3</x:v>
      </x:c>
      <x:c r="Q8" s="2"/>
    </x:row>
    <x:row r="9" ht="55" customHeight="1">
      <x:c r="A9" s="8" t="str">
        <x:v>바다</x:v>
      </x:c>
      <x:c r="B9" s="8" t="str">
        <x:v>조위</x:v>
      </x:c>
      <x:c r="C9" s="8" t="str">
        <x:v>검토</x:v>
      </x:c>
      <x:c r="D9" s="8" t="str">
        <x:v>관측소 격자 한정; 예보지점 격자 한정</x:v>
      </x:c>
      <x:c r="E9" s="8" t="str">
        <x:v>가능: 지점 관측 시계열</x:v>
      </x:c>
      <x:c r="F9" s="8" t="str">
        <x:v>조위관측소 50곳×24회; 수온 등 공유</x:v>
      </x:c>
      <x:c r="G9" s="15" t="n">
        <x:f>'API 호출 산정'!F6</x:f>
        <x:v>1200</x:v>
      </x:c>
      <x:c r="H9" s="15" t="str">
        <x:v>가능: 지점 조석 시계열 예측</x:v>
      </x:c>
      <x:c r="I9" s="15" t="str">
        <x:v>예보지점 50곳×요청일 1회</x:v>
      </x:c>
      <x:c r="J9" s="15" t="n">
        <x:f>'API 호출 산정'!F9</x:f>
        <x:v>50</x:v>
      </x:c>
      <x:c r="K9" s="15" t="n">
        <x:f>G9+J9</x:f>
        <x:v>1250</x:v>
      </x:c>
      <x:c r="L9" s="10" t="str">
        <x:v>각 API 건수상 여유; 지점 간 보간은 별도</x:v>
      </x:c>
      <x:c r="M9" s="8" t="str">
        <x:v>국립해양조사원</x:v>
      </x:c>
      <x:c r="N9" s="8" t="str">
        <x:v>관측 조위와 천문조석 예측값의 차이 존재</x:v>
      </x:c>
      <x:c r="O9" s="8" t="str">
        <x:v>관측·시계열 예보 활용신청, 기준면 검증</x:v>
      </x:c>
      <x:c r="P9" s="8" t="str">
        <x:v>S1,S4</x:v>
      </x:c>
      <x:c r="Q9" s="2"/>
    </x:row>
    <x:row r="10" ht="55" customHeight="1">
      <x:c r="A10" s="8" t="str">
        <x:v>바다</x:v>
      </x:c>
      <x:c r="B10" s="8" t="str">
        <x:v>유속</x:v>
      </x:c>
      <x:c r="C10" s="8" t="str">
        <x:v>검토</x:v>
      </x:c>
      <x:c r="D10" s="8" t="str">
        <x:v>부이 격자 한정; ROMS 해역 격자 대응</x:v>
      </x:c>
      <x:c r="E10" s="8" t="str">
        <x:v>가능: 부이 관측 시계열</x:v>
      </x:c>
      <x:c r="F10" s="8" t="str">
        <x:v>해양부이 40곳×24회; 수온·유향 공유</x:v>
      </x:c>
      <x:c r="G10" s="15" t="n">
        <x:f>'API 호출 산정'!F7</x:f>
        <x:v>960</x:v>
      </x:c>
      <x:c r="H10" s="15" t="str">
        <x:v>가능: 표층 모델 예측</x:v>
      </x:c>
      <x:c r="I10" s="15" t="str">
        <x:v>ROMS 10해역×24미래시각 가정</x:v>
      </x:c>
      <x:c r="J10" s="15" t="n">
        <x:f>'API 호출 산정'!F10</x:f>
        <x:v>240</x:v>
      </x:c>
      <x:c r="K10" s="15" t="n">
        <x:f>G10+J10</x:f>
        <x:v>1200</x:v>
      </x:c>
      <x:c r="L10" s="10" t="str">
        <x:v>건수상 여유; bbox/페이지·용량 미검증</x:v>
      </x:c>
      <x:c r="M10" s="8" t="str">
        <x:v>국립해양조사원</x:v>
      </x:c>
      <x:c r="N10" s="8" t="str">
        <x:v>조류예보 시계열은 약 200 지점의 별도 대안</x:v>
      </x:c>
      <x:c r="O10" s="8" t="str">
        <x:v>부이·ROMS 신청, 깊이/단위 검증</x:v>
      </x:c>
      <x:c r="P10" s="8" t="str">
        <x:v>S2,S5,S15</x:v>
      </x:c>
      <x:c r="Q10" s="2"/>
    </x:row>
    <x:row r="11" ht="55" customHeight="1">
      <x:c r="A11" s="8" t="str">
        <x:v>바다</x:v>
      </x:c>
      <x:c r="B11" s="8" t="str">
        <x:v>유향</x:v>
      </x:c>
      <x:c r="C11" s="8" t="str">
        <x:v>검토</x:v>
      </x:c>
      <x:c r="D11" s="8" t="str">
        <x:v>부이 격자 한정; ROMS 해역 격자 대응</x:v>
      </x:c>
      <x:c r="E11" s="8" t="str">
        <x:v>가능: 부이 관측 시계열</x:v>
      </x:c>
      <x:c r="F11" s="8" t="str">
        <x:v>해양부이 40곳×24회; 수온·유속 공유</x:v>
      </x:c>
      <x:c r="G11" s="15" t="n">
        <x:f>'API 호출 산정'!F7</x:f>
        <x:v>960</x:v>
      </x:c>
      <x:c r="H11" s="15" t="str">
        <x:v>가능: 표층 모델 예측</x:v>
      </x:c>
      <x:c r="I11" s="15" t="str">
        <x:v>ROMS 10해역×24미래시각 가정</x:v>
      </x:c>
      <x:c r="J11" s="15" t="n">
        <x:f>'API 호출 산정'!F10</x:f>
        <x:v>240</x:v>
      </x:c>
      <x:c r="K11" s="15" t="n">
        <x:f>G11+J11</x:f>
        <x:v>1200</x:v>
      </x:c>
      <x:c r="L11" s="10" t="str">
        <x:v>건수상 여유; bbox/페이지·용량 미검증</x:v>
      </x:c>
      <x:c r="M11" s="8" t="str">
        <x:v>국립해양조사원</x:v>
      </x:c>
      <x:c r="N11" s="8" t="str">
        <x:v>풍향과 유향의 의미가 다름</x:v>
      </x:c>
      <x:c r="O11" s="8" t="str">
        <x:v>부이·ROMS 신청, 방향 정의 검증</x:v>
      </x:c>
      <x:c r="P11" s="8" t="str">
        <x:v>S2,S5,S15</x:v>
      </x:c>
      <x:c r="Q11" s="2"/>
    </x:row>
    <x:row r="12" ht="55" customHeight="1">
      <x:c r="A12" s="8" t="str">
        <x:v>바다</x:v>
      </x:c>
      <x:c r="B12" s="8" t="str">
        <x:v>이안류 위험지수</x:v>
      </x:c>
      <x:c r="C12" s="8" t="str">
        <x:v>검토</x:v>
      </x:c>
      <x:c r="D12" s="8" t="str">
        <x:v>지정 해수욕장 격자만</x:v>
      </x:c>
      <x:c r="E12" s="8" t="str">
        <x:v>가능: 해수욕장 관측 시각</x:v>
      </x:c>
      <x:c r="F12" s="8" t="str">
        <x:v>10개 해수욕장×24회 가정</x:v>
      </x:c>
      <x:c r="G12" s="15" t="n">
        <x:f>'API 호출 산정'!F11</x:f>
        <x:v>240</x:v>
      </x:c>
      <x:c r="H12" s="15" t="str">
        <x:v>공식 미래 시간별 지수 미확인</x:v>
      </x:c>
      <x:c r="I12" s="15" t="str">
        <x:v>추정 예보로 표시하지 않음</x:v>
      </x:c>
      <x:c r="J12" s="15"/>
      <x:c r="K12" s="15"/>
      <x:c r="L12" s="10" t="str">
        <x:v>건수상 여유; 계절·대상 제한</x:v>
      </x:c>
      <x:c r="M12" s="8" t="str">
        <x:v>국립해양조사원</x:v>
      </x:c>
      <x:c r="N12" s="8" t="str">
        <x:v>4단계 지수; 해수욕장 밖 같은 격자로 확장 금지</x:v>
      </x:c>
      <x:c r="O12" s="8" t="str">
        <x:v>이안류 API 신청, 운영기간 확인</x:v>
      </x:c>
      <x:c r="P12" s="8" t="str">
        <x:v>S6</x:v>
      </x:c>
      <x:c r="Q12" s="2"/>
    </x:row>
    <x:row r="13" ht="55" customHeight="1">
      <x:c r="A13" s="8" t="str">
        <x:v>바다</x:v>
      </x:c>
      <x:c r="B13" s="8" t="str">
        <x:v>해파리 정보</x:v>
      </x:c>
      <x:c r="C13" s="8" t="str">
        <x:v>검토</x:v>
      </x:c>
      <x:c r="D13" s="8" t="str">
        <x:v>광역 해역 보고; 격자 단위 부재</x:v>
      </x:c>
      <x:c r="E13" s="8" t="str">
        <x:v>시간별 수치 안내 불가</x:v>
      </x:c>
      <x:c r="F13" s="8" t="str">
        <x:v>목록 4회/일 가정+신규 문서 상세. 시간별 호출에서 제외</x:v>
      </x:c>
      <x:c r="G13" s="15"/>
      <x:c r="H13" s="15" t="str">
        <x:v>시간별 예보 불가</x:v>
      </x:c>
      <x:c r="I13" s="15" t="str">
        <x:v>주간보고의 금후전망은 정량 시간 예보 아님</x:v>
      </x:c>
      <x:c r="J13" s="15"/>
      <x:c r="K13" s="15"/>
      <x:c r="L13" s="10" t="str">
        <x:v>호출 한도 공개값 미확인; 세부 건수 가변</x:v>
      </x:c>
      <x:c r="M13" s="8" t="str">
        <x:v>국립수산과학원</x:v>
      </x:c>
      <x:c r="N13" s="8" t="str">
        <x:v>속보·주간보고를 지도 설명으로 제공 가능</x:v>
      </x:c>
      <x:c r="O13" s="8" t="str">
        <x:v>NIFS API 신청, 해역 경계 해석</x:v>
      </x:c>
      <x:c r="P13" s="8" t="str">
        <x:v>S7</x:v>
      </x:c>
      <x:c r="Q13" s="2"/>
    </x:row>
    <x:row r="14" ht="55" customHeight="1">
      <x:c r="A14" s="8" t="str">
        <x:v>강</x:v>
      </x:c>
      <x:c r="B14" s="8" t="str">
        <x:v>하천 수위</x:v>
      </x:c>
      <x:c r="C14" s="8" t="str">
        <x:v>검토</x:v>
      </x:c>
      <x:c r="D14" s="8" t="str">
        <x:v>수위관측소가 있는 하천 구간·격자 한정</x:v>
      </x:c>
      <x:c r="E14" s="8" t="str">
        <x:v>가능: 관측소별 시계열</x:v>
      </x:c>
      <x:c r="F14" s="8" t="str">
        <x:v>100관측소×24회 가정; 유량 공유</x:v>
      </x:c>
      <x:c r="G14" s="15" t="n">
        <x:f>'API 호출 산정'!F12</x:f>
        <x:v>2400</x:v>
      </x:c>
      <x:c r="H14" s="15" t="str">
        <x:v>전국 격자 시간별 공식 예보 미확인</x:v>
      </x:c>
      <x:c r="I14" s="15" t="str">
        <x:v>홍수예보 일부 지점과 별도</x:v>
      </x:c>
      <x:c r="J14" s="15"/>
      <x:c r="K14" s="15"/>
      <x:c r="L14" s="11" t="str">
        <x:v>1만 회 기준 2,400회; 10분 갱신 시 14,400회로 초과</x:v>
      </x:c>
      <x:c r="M14" s="8" t="str">
        <x:v>한국수자원공사</x:v>
      </x:c>
      <x:c r="N14" s="8" t="str">
        <x:v>격자 안 모든 하천의 수위가 같지 않음</x:v>
      </x:c>
      <x:c r="O14" s="8" t="str">
        <x:v>우량수위 API 신청, 지점목록 확정</x:v>
      </x:c>
      <x:c r="P14" s="8" t="str">
        <x:v>S8</x:v>
      </x:c>
      <x:c r="Q14" s="2"/>
    </x:row>
    <x:row r="15" ht="55" customHeight="1">
      <x:c r="A15" s="8" t="str">
        <x:v>강</x:v>
      </x:c>
      <x:c r="B15" s="8" t="str">
        <x:v>하천 유량</x:v>
      </x:c>
      <x:c r="C15" s="8" t="str">
        <x:v>검토</x:v>
      </x:c>
      <x:c r="D15" s="8" t="str">
        <x:v>유량 관측소가 있는 하천 구간·격자 한정</x:v>
      </x:c>
      <x:c r="E15" s="8" t="str">
        <x:v>가능: 관측소별 시계열</x:v>
      </x:c>
      <x:c r="F15" s="8" t="str">
        <x:v>100관측소×24회 가정; 수위 공유</x:v>
      </x:c>
      <x:c r="G15" s="15" t="n">
        <x:f>'API 호출 산정'!F12</x:f>
        <x:v>2400</x:v>
      </x:c>
      <x:c r="H15" s="15" t="str">
        <x:v>전국 격자 시간별 공식 예보 미확인</x:v>
      </x:c>
      <x:c r="I15" s="15" t="str">
        <x:v>홍수예보 일부 지점과 별도</x:v>
      </x:c>
      <x:c r="J15" s="15"/>
      <x:c r="K15" s="15"/>
      <x:c r="L15" s="11" t="str">
        <x:v>1만 회 기준 2,400회; 10분 갱신 시 14,400회로 초과</x:v>
      </x:c>
      <x:c r="M15" s="8" t="str">
        <x:v>한국수자원공사</x:v>
      </x:c>
      <x:c r="N15" s="8" t="str">
        <x:v>유량은 하천 단면의 값; 면적 전체값 아님</x:v>
      </x:c>
      <x:c r="O15" s="8" t="str">
        <x:v>우량수위 API 신청, 관측소 좌표/하천 연결</x:v>
      </x:c>
      <x:c r="P15" s="8" t="str">
        <x:v>S8</x:v>
      </x:c>
      <x:c r="Q15" s="2"/>
    </x:row>
    <x:row r="16" ht="55" customHeight="1">
      <x:c r="A16" s="8" t="str">
        <x:v>강</x:v>
      </x:c>
      <x:c r="B16" s="8" t="str">
        <x:v>댐 수위</x:v>
      </x:c>
      <x:c r="C16" s="8" t="str">
        <x:v>검토</x:v>
      </x:c>
      <x:c r="D16" s="8" t="str">
        <x:v>댐 시설 격자 또는 저수지 위치 한정</x:v>
      </x:c>
      <x:c r="E16" s="8" t="str">
        <x:v>가능: 댐별 시계열</x:v>
      </x:c>
      <x:c r="F16" s="8" t="str">
        <x:v>61댐·보×24회; 유입·방류 공유</x:v>
      </x:c>
      <x:c r="G16" s="15" t="n">
        <x:f>'API 호출 산정'!F13</x:f>
        <x:v>1464</x:v>
      </x:c>
      <x:c r="H16" s="15" t="str">
        <x:v>공식 전국 시간별 예보 미확인</x:v>
      </x:c>
      <x:c r="I16" s="15" t="str">
        <x:v>운영계획은 실제 수위 예보와 구분</x:v>
      </x:c>
      <x:c r="J16" s="15"/>
      <x:c r="K16" s="15"/>
      <x:c r="L16" s="10" t="str">
        <x:v>1만 회 기준 1,464회; 10분 갱신은 8,784회</x:v>
      </x:c>
      <x:c r="M16" s="8" t="str">
        <x:v>한국수자원공사</x:v>
      </x:c>
      <x:c r="N16" s="8" t="str">
        <x:v>61개 댐·보 범위; 모든 댐 아님</x:v>
      </x:c>
      <x:c r="O16" s="8" t="str">
        <x:v>수문 운영 API 신청, 시설 좌표 매핑</x:v>
      </x:c>
      <x:c r="P16" s="8" t="str">
        <x:v>S9</x:v>
      </x:c>
      <x:c r="Q16" s="2"/>
    </x:row>
    <x:row r="17" ht="55" customHeight="1">
      <x:c r="A17" s="8" t="str">
        <x:v>강</x:v>
      </x:c>
      <x:c r="B17" s="8" t="str">
        <x:v>댐 방류량</x:v>
      </x:c>
      <x:c r="C17" s="8" t="str">
        <x:v>검토</x:v>
      </x:c>
      <x:c r="D17" s="8" t="str">
        <x:v>댐 시설·하류 영향 구간 별도</x:v>
      </x:c>
      <x:c r="E17" s="8" t="str">
        <x:v>가능: 댐별 시계열</x:v>
      </x:c>
      <x:c r="F17" s="8" t="str">
        <x:v>61댐·보×24회; 수위·유입 공유</x:v>
      </x:c>
      <x:c r="G17" s="15" t="n">
        <x:f>'API 호출 산정'!F13</x:f>
        <x:v>1464</x:v>
      </x:c>
      <x:c r="H17" s="15" t="str">
        <x:v>확정 방류계획의 시간별 API 미확인</x:v>
      </x:c>
      <x:c r="I17" s="15" t="str">
        <x:v>예정 방류와 실제 방류를 구분</x:v>
      </x:c>
      <x:c r="J17" s="15"/>
      <x:c r="K17" s="15"/>
      <x:c r="L17" s="10" t="str">
        <x:v>1만 회 기준 1,464회; 10분 갱신은 8,784회</x:v>
      </x:c>
      <x:c r="M17" s="8" t="str">
        <x:v>한국수자원공사</x:v>
      </x:c>
      <x:c r="N17" s="8" t="str">
        <x:v>댐 위치 격자만으로 하류 영향 판정 불가</x:v>
      </x:c>
      <x:c r="O17" s="8" t="str">
        <x:v>수문 운영 API 신청, 방류 공지 별도 조사</x:v>
      </x:c>
      <x:c r="P17" s="8" t="str">
        <x:v>S9</x:v>
      </x:c>
      <x:c r="Q17" s="2"/>
    </x:row>
    <x:row r="18" ht="55" customHeight="1">
      <x:c r="A18" s="8" t="str">
        <x:v>강</x:v>
      </x:c>
      <x:c r="B18" s="8" t="str">
        <x:v>댐 유입량</x:v>
      </x:c>
      <x:c r="C18" s="8" t="str">
        <x:v>검토</x:v>
      </x:c>
      <x:c r="D18" s="8" t="str">
        <x:v>댐 시설 격자 한정</x:v>
      </x:c>
      <x:c r="E18" s="8" t="str">
        <x:v>가능: 댐별 시계열</x:v>
      </x:c>
      <x:c r="F18" s="8" t="str">
        <x:v>61댐·보×24회; 수위·방류 공유</x:v>
      </x:c>
      <x:c r="G18" s="15" t="n">
        <x:f>'API 호출 산정'!F13</x:f>
        <x:v>1464</x:v>
      </x:c>
      <x:c r="H18" s="15" t="str">
        <x:v>공식 전국 시간별 예보 미확인</x:v>
      </x:c>
      <x:c r="I18" s="15" t="str">
        <x:v>모델 추정치 임의 사용 금지</x:v>
      </x:c>
      <x:c r="J18" s="15"/>
      <x:c r="K18" s="15"/>
      <x:c r="L18" s="10" t="str">
        <x:v>1만 회 기준 1,464회; 10분 갱신은 8,784회</x:v>
      </x:c>
      <x:c r="M18" s="8" t="str">
        <x:v>한국수자원공사</x:v>
      </x:c>
      <x:c r="N18" s="8" t="str">
        <x:v>유입량은 운영 자료의 계산값</x:v>
      </x:c>
      <x:c r="O18" s="8" t="str">
        <x:v>수문 운영 API 신청, 단위 확인</x:v>
      </x:c>
      <x:c r="P18" s="8" t="str">
        <x:v>S9</x:v>
      </x:c>
      <x:c r="Q18" s="2"/>
    </x:row>
    <x:row r="19" ht="55" customHeight="1">
      <x:c r="A19" s="8" t="str">
        <x:v>산</x:v>
      </x:c>
      <x:c r="B19" s="8" t="str">
        <x:v>고도별 풍향·풍속</x:v>
      </x:c>
      <x:c r="C19" s="9" t="str">
        <x:v>제외 확정</x:v>
      </x:c>
      <x:c r="D19" s="8" t="str">
        <x:v>KIM 모델 격자는 앱 지상 nx/ny와 좌표 변환 필요</x:v>
      </x:c>
      <x:c r="E19" s="8" t="str">
        <x:v>윈드프로파일러는 10분 지점 관측; 전 격자 시간별 아님</x:v>
      </x:c>
      <x:c r="F19" s="8" t="str">
        <x:v>제외 결정으로 추가 호출 0</x:v>
      </x:c>
      <x:c r="G19" s="15"/>
      <x:c r="H19" s="15" t="str">
        <x:v>KIM 3차원 모델 후보이나 제외</x:v>
      </x:c>
      <x:c r="I19" s="15" t="str">
        <x:v>제외 결정으로 추가 호출 0</x:v>
      </x:c>
      <x:c r="J19" s="15"/>
      <x:c r="K19" s="15"/>
      <x:c r="L19" s="10" t="str">
        <x:v>APIHub 용량 부담으로 도입 제외</x:v>
      </x:c>
      <x:c r="M19" s="8" t="str">
        <x:v>기상청 APIHub</x:v>
      </x:c>
      <x:c r="N19" s="8" t="str">
        <x:v>레윈존데 정기 관측은 하루 2회; 산의 임의 고도 실측 아님</x:v>
      </x:c>
      <x:c r="O19" s="8" t="str">
        <x:v>현재 신청 대상 아님</x:v>
      </x:c>
      <x:c r="P19" s="8" t="str">
        <x:v>S10,S11</x:v>
      </x:c>
      <x:c r="Q19" s="2"/>
    </x:row>
    <x:row r="20" ht="55" customHeight="1">
      <x:c r="A20" s="8" t="str">
        <x:v>산</x:v>
      </x:c>
      <x:c r="B20" s="8" t="str">
        <x:v>구름 높이</x:v>
      </x:c>
      <x:c r="C20" s="9" t="str">
        <x:v>제외 확정</x:v>
      </x:c>
      <x:c r="D20" s="8" t="str">
        <x:v>ASOS 최저운고는 관측소 지점값</x:v>
      </x:c>
      <x:c r="E20" s="8" t="str">
        <x:v>지점 관측 가능; 전 산악 격자 시간별 아님</x:v>
      </x:c>
      <x:c r="F20" s="8" t="str">
        <x:v>제외 결정으로 추가 호출 0</x:v>
      </x:c>
      <x:c r="G20" s="15"/>
      <x:c r="H20" s="15" t="str">
        <x:v>같은 의미의 격자 미래 API 검증 안 됨</x:v>
      </x:c>
      <x:c r="I20" s="15" t="str">
        <x:v>제외 결정으로 추가 호출 0</x:v>
      </x:c>
      <x:c r="J20" s="15"/>
      <x:c r="K20" s="15"/>
      <x:c r="L20" s="10" t="str">
        <x:v>APIHub 용량 부담으로 도입 제외</x:v>
      </x:c>
      <x:c r="M20" s="8" t="str">
        <x:v>기상청 APIHub</x:v>
      </x:c>
      <x:c r="N20" s="8" t="str">
        <x:v>레이더 에코상단 고도는 최저운고가 아님</x:v>
      </x:c>
      <x:c r="O20" s="8" t="str">
        <x:v>현재 신청 대상 아님</x:v>
      </x:c>
      <x:c r="P20" s="8" t="str">
        <x:v>S12</x:v>
      </x:c>
      <x:c r="Q20" s="2"/>
    </x:row>
    <x:row r="21" ht="55" customHeight="1">
      <x:c r="A21" s="8" t="str">
        <x:v>산</x:v>
      </x:c>
      <x:c r="B21" s="8" t="str">
        <x:v>운량 수치</x:v>
      </x:c>
      <x:c r="C21" s="9" t="str">
        <x:v>제외 확정</x:v>
      </x:c>
      <x:c r="D21" s="8" t="str">
        <x:v>ASOS 전운량은 관측소 지점값</x:v>
      </x:c>
      <x:c r="E21" s="8" t="str">
        <x:v>지점 관측 가능; 전 산악 격자 시간별 아님</x:v>
      </x:c>
      <x:c r="F21" s="8" t="str">
        <x:v>제외 결정으로 추가 호출 0</x:v>
      </x:c>
      <x:c r="G21" s="15"/>
      <x:c r="H21" s="15" t="str">
        <x:v>KIM 전운량 모델 후보이나 제외</x:v>
      </x:c>
      <x:c r="I21" s="15" t="str">
        <x:v>제외 결정으로 추가 호출 0</x:v>
      </x:c>
      <x:c r="J21" s="15"/>
      <x:c r="K21" s="15"/>
      <x:c r="L21" s="10" t="str">
        <x:v>APIHub 용량 부담으로 도입 제외</x:v>
      </x:c>
      <x:c r="M21" s="8" t="str">
        <x:v>기상청 APIHub</x:v>
      </x:c>
      <x:c r="N21" s="8" t="str">
        <x:v>기존 SKY는 맑음·구름많음·흐림 범주</x:v>
      </x:c>
      <x:c r="O21" s="8" t="str">
        <x:v>현재 신청 대상 아님</x:v>
      </x:c>
      <x:c r="P21" s="8" t="str">
        <x:v>S11,S12</x:v>
      </x:c>
      <x:c r="Q21" s="2"/>
    </x:row>
    <x:row r="22" ht="55" customHeight="1">
      <x:c r="A22" s="8" t="str">
        <x:v>그외</x:v>
      </x:c>
      <x:c r="B22" s="8" t="str">
        <x:v>낙뢰</x:v>
      </x:c>
      <x:c r="C22" s="8" t="str">
        <x:v>검토</x:v>
      </x:c>
      <x:c r="D22" s="8" t="str">
        <x:v>전국 낙뢰 좌표를 발생 위치 nx/ny에 배정</x:v>
      </x:c>
      <x:c r="E22" s="8" t="str">
        <x:v>가능: 관측 좌표·시각</x:v>
      </x:c>
      <x:c r="F22" s="8" t="str">
        <x:v>전국 원시자료 10분마다 1회; 지역별 호출 안 함</x:v>
      </x:c>
      <x:c r="G22" s="15" t="n">
        <x:f>'API 호출 산정'!F14</x:f>
        <x:v>144</x:v>
      </x:c>
      <x:c r="H22" s="15" t="str">
        <x:v>공식 격자별 시간대 예보 미확인</x:v>
      </x:c>
      <x:c r="I22" s="15" t="str">
        <x:v>발생 위치 관측을 미래 발생 예보로 표시 금지</x:v>
      </x:c>
      <x:c r="J22" s="15"/>
      <x:c r="K22" s="15"/>
      <x:c r="L22" s="9" t="str">
        <x:v>호출 144회는 여유; 응답 바이트·실제 잔여 4.5GB 확인 필요</x:v>
      </x:c>
      <x:c r="M22" s="8" t="str">
        <x:v>기상청 APIHub</x:v>
      </x:c>
      <x:c r="N22" s="8" t="str">
        <x:v>이전 행정구역 횟수 API 24회/일 산정은 격자 요구에 부적합</x:v>
      </x:c>
      <x:c r="O22" s="8" t="str">
        <x:v>낙뢰관측 활용신청, 용량 실측·결측 점검</x:v>
      </x:c>
      <x:c r="P22" s="8" t="str">
        <x:v>S13,S14</x:v>
      </x:c>
      <x:c r="Q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</x:row>
    <x:row r="25">
      <x:c r="A25" s="2" t="str">
        <x:v>항목별 호출/일은 해당 항목만 단독 구현할 때의 수치다. 여러 항목을 함께 제공할 때는 API 호출 산정 탭의 중복 제거 합계를 사용한다.</x:v>
      </x:c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</x:row>
    <x:row r="26">
      <x:c r="A26" s="2" t="str">
        <x:v>한도 판정은 호출 건수 기준 예시다. 별도 승인 상태, 실제 응답 크기, API 페이지 수, 재시도, 현행 다른 기능 사용량은 미확인이다.</x:v>
      </x:c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27CA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1" hidden="0" customWidth="1"/>
    <x:col min="2" max="2" width="19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72" hidden="0" customWidth="1"/>
  </x:cols>
  <x:sheetData>
    <x:row r="1" ht="1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>
      <x:c r="A2" s="3" t="str">
        <x:v>API 호출 산정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</x:row>
    <x:row r="3">
      <x:c r="A3" s="2" t="str">
        <x:v>중앙 서버 공용 수집 예시. 모든 격자·사용자별 중복 호출은 하지 않는다. 지점·해역 분할 수와 재시도·추가 페이지는 실측 전 가정이다.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</x:row>
    <x:row r="5" ht="36" customHeight="1">
      <x:c r="A5" s="7" t="str">
        <x:v>수집 묶음</x:v>
      </x:c>
      <x:c r="B5" s="7" t="str">
        <x:v>제공처</x:v>
      </x:c>
      <x:c r="C5" s="7" t="str">
        <x:v>대상 수/타일 수</x:v>
      </x:c>
      <x:c r="D5" s="7" t="str">
        <x:v>호출 주기(회/일)</x:v>
      </x:c>
      <x:c r="E5" s="7" t="str">
        <x:v>페이지·재시도 배수</x:v>
      </x:c>
      <x:c r="F5" s="7" t="str">
        <x:v>예상 호출/일</x:v>
      </x:c>
      <x:c r="G5" s="7" t="str">
        <x:v>공개 한도/일</x:v>
      </x:c>
      <x:c r="H5" s="7" t="str">
        <x:v>호출 건수 판정</x:v>
      </x:c>
      <x:c r="I5" s="7" t="str">
        <x:v>산정 근거·제약</x:v>
      </x:c>
      <x:c r="J5" s="2"/>
      <x:c r="K5" s="2"/>
      <x:c r="L5" s="2"/>
      <x:c r="M5" s="2"/>
      <x:c r="N5" s="2"/>
      <x:c r="O5" s="2"/>
      <x:c r="P5" s="2"/>
      <x:c r="Q5" s="2"/>
    </x:row>
    <x:row r="6" ht="52" customHeight="1">
      <x:c r="A6" s="8" t="str">
        <x:v>조위관측</x:v>
      </x:c>
      <x:c r="B6" s="8" t="str">
        <x:v>국립해양조사원</x:v>
      </x:c>
      <x:c r="C6" s="14" t="n">
        <x:v>50</x:v>
      </x:c>
      <x:c r="D6" s="14" t="n">
        <x:v>24</x:v>
      </x:c>
      <x:c r="E6" s="14" t="n">
        <x:v>1</x:v>
      </x:c>
      <x:c r="F6" s="15" t="n">
        <x:f>C6*D6*E6</x:f>
        <x:v>1200</x:v>
      </x:c>
      <x:c r="G6" s="15" t="n">
        <x:v>10000</x:v>
      </x:c>
      <x:c r="H6" s="16" t="str">
        <x:f>IF(F6&gt;G6,"초과","건수상 여유")</x:f>
        <x:v>건수상 여유</x:v>
      </x:c>
      <x:c r="I6" s="8" t="str">
        <x:v>관측소×시간별 갱신. 조위·수온 등 한 응답 공유. 지점 수는 가정.</x:v>
      </x:c>
      <x:c r="J6" s="2"/>
      <x:c r="K6" s="2"/>
      <x:c r="L6" s="2"/>
      <x:c r="M6" s="2"/>
      <x:c r="N6" s="2"/>
      <x:c r="O6" s="2"/>
      <x:c r="P6" s="2"/>
      <x:c r="Q6" s="2"/>
    </x:row>
    <x:row r="7" ht="52" customHeight="1">
      <x:c r="A7" s="8" t="str">
        <x:v>해양부이관측</x:v>
      </x:c>
      <x:c r="B7" s="8" t="str">
        <x:v>국립해양조사원</x:v>
      </x:c>
      <x:c r="C7" s="14" t="n">
        <x:v>40</x:v>
      </x:c>
      <x:c r="D7" s="14" t="n">
        <x:v>24</x:v>
      </x:c>
      <x:c r="E7" s="14" t="n">
        <x:v>1</x:v>
      </x:c>
      <x:c r="F7" s="15" t="n">
        <x:f>C7*D7*E7</x:f>
        <x:v>960</x:v>
      </x:c>
      <x:c r="G7" s="15" t="n">
        <x:v>10000</x:v>
      </x:c>
      <x:c r="H7" s="16" t="str">
        <x:f>IF(F7&gt;G7,"초과","건수상 여유")</x:f>
        <x:v>건수상 여유</x:v>
      </x:c>
      <x:c r="I7" s="8" t="str">
        <x:v>부이×시간별 갱신. 수온·유향·유속 한 응답 공유. 지점 수는 가정.</x:v>
      </x:c>
      <x:c r="J7" s="2"/>
      <x:c r="K7" s="2"/>
      <x:c r="L7" s="2"/>
      <x:c r="M7" s="2"/>
      <x:c r="N7" s="2"/>
      <x:c r="O7" s="2"/>
      <x:c r="P7" s="2"/>
      <x:c r="Q7" s="2"/>
    </x:row>
    <x:row r="8" ht="52" customHeight="1">
      <x:c r="A8" s="8" t="str">
        <x:v>고저조예보</x:v>
      </x:c>
      <x:c r="B8" s="8" t="str">
        <x:v>국립해양조사원</x:v>
      </x:c>
      <x:c r="C8" s="14" t="n">
        <x:v>50</x:v>
      </x:c>
      <x:c r="D8" s="14" t="n">
        <x:v>1</x:v>
      </x:c>
      <x:c r="E8" s="14" t="n">
        <x:v>1</x:v>
      </x:c>
      <x:c r="F8" s="15" t="n">
        <x:f>C8*D8*E8</x:f>
        <x:v>50</x:v>
      </x:c>
      <x:c r="G8" s="15" t="n">
        <x:v>10000</x:v>
      </x:c>
      <x:c r="H8" s="16" t="str">
        <x:f>IF(F8&gt;G8,"초과","건수상 여유")</x:f>
        <x:v>건수상 여유</x:v>
      </x:c>
      <x:c r="I8" s="8" t="str">
        <x:v>예보지점×요청일. 만조·간조 시각 이벤트. 지점 수는 가정.</x:v>
      </x:c>
      <x:c r="J8" s="2"/>
      <x:c r="K8" s="2"/>
      <x:c r="L8" s="2"/>
      <x:c r="M8" s="2"/>
      <x:c r="N8" s="2"/>
      <x:c r="O8" s="2"/>
      <x:c r="P8" s="2"/>
      <x:c r="Q8" s="2"/>
    </x:row>
    <x:row r="9" ht="52" customHeight="1">
      <x:c r="A9" s="8" t="str">
        <x:v>조석시계열</x:v>
      </x:c>
      <x:c r="B9" s="8" t="str">
        <x:v>국립해양조사원</x:v>
      </x:c>
      <x:c r="C9" s="14" t="n">
        <x:v>50</x:v>
      </x:c>
      <x:c r="D9" s="14" t="n">
        <x:v>1</x:v>
      </x:c>
      <x:c r="E9" s="14" t="n">
        <x:v>1</x:v>
      </x:c>
      <x:c r="F9" s="15" t="n">
        <x:f>C9*D9*E9</x:f>
        <x:v>50</x:v>
      </x:c>
      <x:c r="G9" s="15" t="n">
        <x:v>10000</x:v>
      </x:c>
      <x:c r="H9" s="16" t="str">
        <x:f>IF(F9&gt;G9,"초과","건수상 여유")</x:f>
        <x:v>건수상 여유</x:v>
      </x:c>
      <x:c r="I9" s="8" t="str">
        <x:v>예보지점×요청일. 시간 간격을 요청. 지점 수는 가정.</x:v>
      </x:c>
      <x:c r="J9" s="2"/>
      <x:c r="K9" s="2"/>
      <x:c r="L9" s="2"/>
      <x:c r="M9" s="2"/>
      <x:c r="N9" s="2"/>
      <x:c r="O9" s="2"/>
      <x:c r="P9" s="2"/>
      <x:c r="Q9" s="2"/>
    </x:row>
    <x:row r="10" ht="52" customHeight="1">
      <x:c r="A10" s="8" t="str">
        <x:v>ROMS예측</x:v>
      </x:c>
      <x:c r="B10" s="8" t="str">
        <x:v>국립해양조사원</x:v>
      </x:c>
      <x:c r="C10" s="14" t="n">
        <x:v>10</x:v>
      </x:c>
      <x:c r="D10" s="14" t="n">
        <x:v>24</x:v>
      </x:c>
      <x:c r="E10" s="14" t="n">
        <x:v>1</x:v>
      </x:c>
      <x:c r="F10" s="15" t="n">
        <x:f>C10*D10*E10</x:f>
        <x:v>240</x:v>
      </x:c>
      <x:c r="G10" s="15" t="n">
        <x:v>10000</x:v>
      </x:c>
      <x:c r="H10" s="16" t="str">
        <x:f>IF(F10&gt;G10,"초과","건수상 여유")</x:f>
        <x:v>건수상 여유</x:v>
      </x:c>
      <x:c r="I10" s="8" t="str">
        <x:v>해역 타일×미래 24개 시각 가정. 실제 허용 bbox·페이지·모델 발표주기 미검증.</x:v>
      </x:c>
      <x:c r="J10" s="2"/>
      <x:c r="K10" s="2"/>
      <x:c r="L10" s="2"/>
      <x:c r="M10" s="2"/>
      <x:c r="N10" s="2"/>
      <x:c r="O10" s="2"/>
      <x:c r="P10" s="2"/>
      <x:c r="Q10" s="2"/>
    </x:row>
    <x:row r="11" ht="52" customHeight="1">
      <x:c r="A11" s="8" t="str">
        <x:v>이안류관측</x:v>
      </x:c>
      <x:c r="B11" s="8" t="str">
        <x:v>국립해양조사원</x:v>
      </x:c>
      <x:c r="C11" s="14" t="n">
        <x:v>10</x:v>
      </x:c>
      <x:c r="D11" s="14" t="n">
        <x:v>24</x:v>
      </x:c>
      <x:c r="E11" s="14" t="n">
        <x:v>1</x:v>
      </x:c>
      <x:c r="F11" s="15" t="n">
        <x:f>C11*D11*E11</x:f>
        <x:v>240</x:v>
      </x:c>
      <x:c r="G11" s="15" t="n">
        <x:v>10000</x:v>
      </x:c>
      <x:c r="H11" s="16" t="str">
        <x:f>IF(F11&gt;G11,"초과","건수상 여유")</x:f>
        <x:v>건수상 여유</x:v>
      </x:c>
      <x:c r="I11" s="8" t="str">
        <x:v>해수욕장×시간별 갱신. 운영 해수욕장 10곳 기준, 계절 운영.</x:v>
      </x:c>
      <x:c r="J11" s="2"/>
      <x:c r="K11" s="2"/>
      <x:c r="L11" s="2"/>
      <x:c r="M11" s="2"/>
      <x:c r="N11" s="2"/>
      <x:c r="O11" s="2"/>
      <x:c r="P11" s="2"/>
      <x:c r="Q11" s="2"/>
    </x:row>
    <x:row r="12" ht="52" customHeight="1">
      <x:c r="A12" s="8" t="str">
        <x:v>하천관측</x:v>
      </x:c>
      <x:c r="B12" s="8" t="str">
        <x:v>한국수자원공사</x:v>
      </x:c>
      <x:c r="C12" s="14" t="n">
        <x:v>100</x:v>
      </x:c>
      <x:c r="D12" s="14" t="n">
        <x:v>24</x:v>
      </x:c>
      <x:c r="E12" s="14" t="n">
        <x:v>1</x:v>
      </x:c>
      <x:c r="F12" s="15" t="n">
        <x:f>C12*D12*E12</x:f>
        <x:v>2400</x:v>
      </x:c>
      <x:c r="G12" s="15" t="n">
        <x:v>10000</x:v>
      </x:c>
      <x:c r="H12" s="16" t="str">
        <x:f>IF(F12&gt;G12,"초과","건수상 여유")</x:f>
        <x:v>건수상 여유</x:v>
      </x:c>
      <x:c r="I12" s="8" t="str">
        <x:v>수위관측소×시간별 갱신. 수위·유량 한 응답 공유. 지점 수는 가정.</x:v>
      </x:c>
      <x:c r="J12" s="2"/>
      <x:c r="K12" s="2"/>
      <x:c r="L12" s="2"/>
      <x:c r="M12" s="2"/>
      <x:c r="N12" s="2"/>
      <x:c r="O12" s="2"/>
      <x:c r="P12" s="2"/>
      <x:c r="Q12" s="2"/>
    </x:row>
    <x:row r="13" ht="52" customHeight="1">
      <x:c r="A13" s="8" t="str">
        <x:v>댐운영</x:v>
      </x:c>
      <x:c r="B13" s="8" t="str">
        <x:v>한국수자원공사</x:v>
      </x:c>
      <x:c r="C13" s="14" t="n">
        <x:v>61</x:v>
      </x:c>
      <x:c r="D13" s="14" t="n">
        <x:v>24</x:v>
      </x:c>
      <x:c r="E13" s="14" t="n">
        <x:v>1</x:v>
      </x:c>
      <x:c r="F13" s="15" t="n">
        <x:f>C13*D13*E13</x:f>
        <x:v>1464</x:v>
      </x:c>
      <x:c r="G13" s="15" t="n">
        <x:v>10000</x:v>
      </x:c>
      <x:c r="H13" s="16" t="str">
        <x:f>IF(F13&gt;G13,"초과","건수상 여유")</x:f>
        <x:v>건수상 여유</x:v>
      </x:c>
      <x:c r="I13" s="8" t="str">
        <x:v>댐·보 61지점×시간별 갱신. 수위·유입·방류 한 응답 공유.</x:v>
      </x:c>
      <x:c r="J13" s="2"/>
      <x:c r="K13" s="2"/>
      <x:c r="L13" s="2"/>
      <x:c r="M13" s="2"/>
      <x:c r="N13" s="2"/>
      <x:c r="O13" s="2"/>
      <x:c r="P13" s="2"/>
      <x:c r="Q13" s="2"/>
    </x:row>
    <x:row r="14" ht="52" customHeight="1">
      <x:c r="A14" s="8" t="str">
        <x:v>낙뢰좌표</x:v>
      </x:c>
      <x:c r="B14" s="8" t="str">
        <x:v>기상청 APIHub</x:v>
      </x:c>
      <x:c r="C14" s="14" t="n">
        <x:v>1</x:v>
      </x:c>
      <x:c r="D14" s="14" t="n">
        <x:v>144</x:v>
      </x:c>
      <x:c r="E14" s="14" t="n">
        <x:v>1</x:v>
      </x:c>
      <x:c r="F14" s="15" t="n">
        <x:f>C14*D14*E14</x:f>
        <x:v>144</x:v>
      </x:c>
      <x:c r="G14" s="15" t="n">
        <x:v>18000</x:v>
      </x:c>
      <x:c r="H14" s="16" t="str">
        <x:f>IF(F14&gt;G14,"초과","건수상 여유")</x:f>
        <x:v>건수상 여유</x:v>
      </x:c>
      <x:c r="I14" s="8" t="str">
        <x:v>전국 좌표 원시자료 10분마다 1회. 시간 중복 제거 후 nx/ny에 배정. 응답 바이트 미측정.</x:v>
      </x:c>
      <x:c r="J14" s="2"/>
      <x:c r="K14" s="2"/>
      <x:c r="L14" s="2"/>
      <x:c r="M14" s="2"/>
      <x:c r="N14" s="2"/>
      <x:c r="O14" s="2"/>
      <x:c r="P14" s="2"/>
      <x:c r="Q14" s="2"/>
    </x:row>
    <x:row r="15" ht="52" customHeight="1">
      <x:c r="A15" s="8" t="str">
        <x:v>해파리목록</x:v>
      </x:c>
      <x:c r="B15" s="8" t="str">
        <x:v>국립수산과학원</x:v>
      </x:c>
      <x:c r="C15" s="14" t="n">
        <x:v>1</x:v>
      </x:c>
      <x:c r="D15" s="14" t="n">
        <x:v>4</x:v>
      </x:c>
      <x:c r="E15" s="14" t="n">
        <x:v>1</x:v>
      </x:c>
      <x:c r="F15" s="15" t="n">
        <x:f>C15*D15*E15</x:f>
        <x:v>4</x:v>
      </x:c>
      <x:c r="G15" s="15"/>
      <x:c r="H15" s="16" t="str">
        <x:f>"계정 한도 미확인"</x:f>
        <x:v>계정 한도 미확인</x:v>
      </x:c>
      <x:c r="I15" s="8" t="str">
        <x:v>하루 4회 목록 확인 가정. 새 속보/주간보고 상세는 건별 추가. 시간별 격자 지수 아님.</x:v>
      </x:c>
      <x:c r="J15" s="2"/>
      <x:c r="K15" s="2"/>
      <x:c r="L15" s="2"/>
      <x:c r="M15" s="2"/>
      <x:c r="N15" s="2"/>
      <x:c r="O15" s="2"/>
      <x:c r="P15" s="2"/>
      <x:c r="Q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</x:row>
    <x:row r="18">
      <x:c r="A18" s="2" t="str">
        <x:v>제공처별</x:v>
      </x:c>
      <x:c r="B18" s="2" t="str">
        <x:v>예상 중복 제거 호출/일</x:v>
      </x:c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</x:row>
    <x:row r="19">
      <x:c r="A19" s="2" t="str">
        <x:v>국립해양조사원</x:v>
      </x:c>
      <x:c r="B19" s="2" t="n">
        <x:f>SUMIFS(F6:F15,B6:B15,A19)</x:f>
        <x:v>2740</x:v>
      </x:c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</x:row>
    <x:row r="20">
      <x:c r="A20" s="2" t="str">
        <x:v>한국수자원공사</x:v>
      </x:c>
      <x:c r="B20" s="2" t="n">
        <x:f>SUMIFS(F6:F15,B6:B15,A20)</x:f>
        <x:v>3864</x:v>
      </x:c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</x:row>
    <x:row r="21">
      <x:c r="A21" s="2" t="str">
        <x:v>기상청 APIHub</x:v>
      </x:c>
      <x:c r="B21" s="2" t="n">
        <x:f>SUMIFS(F6:F15,B6:B15,A21)</x:f>
        <x:v>144</x:v>
      </x:c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</x:row>
    <x:row r="23">
      <x:c r="A23" s="2" t="str">
        <x:v>별도 참고</x:v>
      </x:c>
      <x:c r="B23" s="2" t="str">
        <x:v>국립수산과학원 해파리 목록은 시간별 격자 항목이 아니므로 위 세 기관 합계에서 제외</x:v>
      </x:c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</x:row>
    <x:row r="24">
      <x:c r="A24" s="2" t="str">
        <x:v>한도 해석</x:v>
      </x:c>
      <x:c r="B24" s="2" t="str">
        <x:v>포털 1만 회는 각 API 개발계정 안내값이다. 실제 계정 승인량·동일 키 서비스 간 합산 정책을 확인해야 한다.</x:v>
      </x:c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6" topLeftCell="A17" activePane="bottomLeft" state="frozen"/>
    </x:sheetView>
  </x:sheetViews>
  <x:sheetFormatPr defaultRowHeight="15"/>
  <x:cols>
    <x:col min="1" max="1" width="18" hidden="0" customWidth="1"/>
    <x:col min="2" max="2" width="43" hidden="0" customWidth="1"/>
    <x:col min="3" max="3" width="68" hidden="0" customWidth="1"/>
    <x:col min="4" max="4" width="90" hidden="0" customWidth="1"/>
  </x:cols>
  <x:sheetData>
    <x:row r="1" ht="1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>
      <x:c r="A2" s="3" t="str">
        <x:v>근거와 계산 가정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</x:row>
    <x:row r="4">
      <x:c r="A4" s="2" t="str">
        <x:v>항목</x:v>
      </x:c>
      <x:c r="B4" s="2" t="str">
        <x:v>내용</x:v>
      </x:c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</x:row>
    <x:row r="5" ht="49" customHeight="1">
      <x:c r="A5" s="8" t="str">
        <x:v>격자 기준</x:v>
      </x:c>
      <x:c r="B5" s="8" t="str">
        <x:v>기상청 단기예보 원본판 149×253=37,697셀. 바다·산·하천 API의 공간 격자는 해상도와 좌표계가 다를 수 있다.</x:v>
      </x:c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</x:row>
    <x:row r="6" ht="49" customHeight="1">
      <x:c r="A6" s="8" t="str">
        <x:v>표시 원칙</x:v>
      </x:c>
      <x:c r="B6" s="8" t="str">
        <x:v>좌표 또는 시설 위치가 속한 nx/ny에 연결하되, 같은 격자 전체가 동일한 실측값이라는 뜻으로 표시하지 않는다. 해역/하천 경계와 거리 제한을 추가해야 한다.</x:v>
      </x:c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</x:row>
    <x:row r="7" ht="49" customHeight="1">
      <x:c r="A7" s="8" t="str">
        <x:v>관측 호출</x:v>
      </x:c>
      <x:c r="B7" s="8" t="str">
        <x:v>현재값을 1시간마다 갱신하는 예시: 지점 수×24회/일. API가 과거 하루 시계열을 한 번에 제공해도 최신값 갱신은 반복 호출한다.</x:v>
      </x:c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</x:row>
    <x:row r="8" ht="49" customHeight="1">
      <x:c r="A8" s="8" t="str">
        <x:v>예보 호출</x:v>
      </x:c>
      <x:c r="B8" s="8" t="str">
        <x:v>고저조·조석 시계열은 지점×하루 1회 가정. ROMS는 bbox 타일 10개×미래 24개 시각 조회 가정. 실제 요청당 시간범위·페이지 제한은 명세/응답 검증 필요.</x:v>
      </x:c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</x:row>
    <x:row r="9" ht="49" customHeight="1">
      <x:c r="A9" s="8" t="str">
        <x:v>예시 대상</x:v>
      </x:c>
      <x:c r="B9" s="8" t="str">
        <x:v>조위관측소 50, 해양부이 40, 조석예보 50, ROMS 타일 10, 하천 100은 설계 가정. 댐·보 61과 이안류 해수욕장 10은 공식 공개 범위 기준.</x:v>
      </x:c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</x:row>
    <x:row r="10" ht="49" customHeight="1">
      <x:c r="A10" s="8" t="str">
        <x:v>한도</x:v>
      </x:c>
      <x:c r="B10" s="8" t="str">
        <x:v>공공데이터포털 각 명세의 개발계정 10,000회/일 안내를 사용. 운영계정 실제 할당량은 조회하지 못했다. APIHub 일반회원 20,000회·5GB, 서버 내부 18,000회·4.5GB.</x:v>
      </x:c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</x:row>
    <x:row r="11" ht="49" customHeight="1">
      <x:c r="A11" s="8" t="str">
        <x:v>낙뢰</x:v>
      </x:c>
      <x:c r="B11" s="8" t="str">
        <x:v>lgt_pnt 전국 조회에는 lon/lat을 생략할 수 있다. 10분마다 이전 10분 창을 조회하는 산정은 API 요청 범위·응답 상한 검증 전 계획값이다. 5분 신속 갱신은 288회/일.</x:v>
      </x:c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</x:row>
    <x:row r="12" ht="49" customHeight="1">
      <x:c r="A12" s="8" t="str">
        <x:v>공유 호출</x:v>
      </x:c>
      <x:c r="B12" s="8" t="str">
        <x:v>부이 수온/유속/유향, 하천 수위/유량, 댐 수위/유입/방류는 각 묶음의 응답을 공동 사용한다. 항목별 숫자를 더하면 중복 계상된다.</x:v>
      </x:c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</x:row>
    <x:row r="13" ht="49" customHeight="1">
      <x:c r="A13" s="8" t="str">
        <x:v>제외 범위</x:v>
      </x:c>
      <x:c r="B13" s="8" t="str">
        <x:v>사용자가 제외한 고도별 풍향·풍속, 구름 높이, 운량 수치의 추가 호출은 0으로 표기했다. 후보 API 제공 가능성과 구현 결정은 별개다.</x:v>
      </x:c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</x:row>
    <x:row r="16" ht="36" customHeight="1">
      <x:c r="A16" s="7" t="str">
        <x:v>코드</x:v>
      </x:c>
      <x:c r="B16" s="7" t="str">
        <x:v>공식 출처</x:v>
      </x:c>
      <x:c r="C16" s="7" t="str">
        <x:v>확인 내용</x:v>
      </x:c>
      <x:c r="D16" s="7" t="str">
        <x:v>URL</x:v>
      </x:c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</x:row>
    <x:row r="17" ht="42" customHeight="1">
      <x:c r="A17" s="8" t="str">
        <x:v>S1</x:v>
      </x:c>
      <x:c r="B17" s="8" t="str">
        <x:v>국립해양조사원 조위관측소 최신 관측데이터</x:v>
      </x:c>
      <x:c r="C17" s="8" t="str">
        <x:v>지점·날짜·간격 조회, 조위·수온·유속·유향 등. 개발계정 1만 회.</x:v>
      </x:c>
      <x:c r="D17" s="8" t="str">
        <x:v>https://www.data.go.kr/data/15155508/openapi.do</x:v>
      </x:c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</x:row>
    <x:row r="18" ht="42" customHeight="1">
      <x:c r="A18" s="8" t="str">
        <x:v>S2</x:v>
      </x:c>
      <x:c r="B18" s="8" t="str">
        <x:v>국립해양조사원 해양관측부이 최신 관측데이터</x:v>
      </x:c>
      <x:c r="C18" s="8" t="str">
        <x:v>지점·날짜·간격 조회, 수온·유향·유속 등.</x:v>
      </x:c>
      <x:c r="D18" s="8" t="str">
        <x:v>https://www.data.go.kr/data/15155516/openapi.do</x:v>
      </x:c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</x:row>
    <x:row r="19" ht="42" customHeight="1">
      <x:c r="A19" s="8" t="str">
        <x:v>S3</x:v>
      </x:c>
      <x:c r="B19" s="8" t="str">
        <x:v>국립해양조사원 조석예보(고, 저조)</x:v>
      </x:c>
      <x:c r="C19" s="8" t="str">
        <x:v>예보지점·요청일별 고저조 시각과 조위. 개발계정 1만 회.</x:v>
      </x:c>
      <x:c r="D19" s="8" t="str">
        <x:v>https://www.data.go.kr/data/15156018/openapi.do</x:v>
      </x:c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</x:row>
    <x:row r="20" ht="42" customHeight="1">
      <x:c r="A20" s="8" t="str">
        <x:v>S4</x:v>
      </x:c>
      <x:c r="B20" s="8" t="str">
        <x:v>국립해양조사원 조석예보(시계열)</x:v>
      </x:c>
      <x:c r="C20" s="8" t="str">
        <x:v>예보지점·요청일·시간간격별 예측 조위. 개발계정 1만 회.</x:v>
      </x:c>
      <x:c r="D20" s="8" t="str">
        <x:v>https://www.data.go.kr/data/15156022/openapi.do</x:v>
      </x:c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</x:row>
    <x:row r="21" ht="42" customHeight="1">
      <x:c r="A21" s="8" t="str">
        <x:v>S5</x:v>
      </x:c>
      <x:c r="B21" s="8" t="str">
        <x:v>국립해양조사원 ROMS 수치예측모델</x:v>
      </x:c>
      <x:c r="C21" s="8" t="str">
        <x:v>검색 bbox, 예측일시·위경도·표층 수온·유향·유속. 개발계정 1만 회.</x:v>
      </x:c>
      <x:c r="D21" s="8" t="str">
        <x:v>https://www.data.go.kr/data/15142227/openapi.do</x:v>
      </x:c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</x:row>
    <x:row r="22" ht="42" customHeight="1">
      <x:c r="A22" s="8" t="str">
        <x:v>S6</x:v>
      </x:c>
      <x:c r="B22" s="8" t="str">
        <x:v>국립해양조사원 이안류 지수 조회</x:v>
      </x:c>
      <x:c r="C22" s="8" t="str">
        <x:v>해수욕장 코드·일자별 관측시각·4단계 지수. 개발계정 1만 회.</x:v>
      </x:c>
      <x:c r="D22" s="8" t="str">
        <x:v>https://www.data.go.kr/data/15156028/openapi.do</x:v>
      </x:c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</x:row>
    <x:row r="23" ht="42" customHeight="1">
      <x:c r="A23" s="8" t="str">
        <x:v>S7</x:v>
      </x:c>
      <x:c r="B23" s="8" t="str">
        <x:v>국립수산과학원 OPENAPI 목록</x:v>
      </x:c>
      <x:c r="C23" s="8" t="str">
        <x:v>해파리 목록과 속보·주간보고 상세. 생성주기 수시.</x:v>
      </x:c>
      <x:c r="D23" s="8" t="str">
        <x:v>https://www.nifs.go.kr/openApi/actionOpenapiInfoList.do</x:v>
      </x:c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</x:row>
    <x:row r="24" ht="42" customHeight="1">
      <x:c r="A24" s="8" t="str">
        <x:v>S8</x:v>
      </x:c>
      <x:c r="B24" s="8" t="str">
        <x:v>한국수자원공사 우량수위 관측소 운영 정보</x:v>
      </x:c>
      <x:c r="C24" s="8" t="str">
        <x:v>관측소별 수위·유량, 10분/30분/시간. 개발계정 1만 회.</x:v>
      </x:c>
      <x:c r="D24" s="8" t="str">
        <x:v>https://www.data.go.kr/data/15099115/openapi.do</x:v>
      </x:c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</x:row>
    <x:row r="25" ht="42" customHeight="1">
      <x:c r="A25" s="8" t="str">
        <x:v>S9</x:v>
      </x:c>
      <x:c r="B25" s="8" t="str">
        <x:v>한국수자원공사 수문 운영 정보</x:v>
      </x:c>
      <x:c r="C25" s="8" t="str">
        <x:v>61개 댐·보 수위·유입량·방류량. 개발계정 1만 회.</x:v>
      </x:c>
      <x:c r="D25" s="8" t="str">
        <x:v>https://www.data.go.kr/data/15099110/openapi.do</x:v>
      </x:c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</x:row>
    <x:row r="26" ht="42" customHeight="1">
      <x:c r="A26" s="8" t="str">
        <x:v>S10</x:v>
      </x:c>
      <x:c r="B26" s="8" t="str">
        <x:v>기상청 APIHub 고층관측</x:v>
      </x:c>
      <x:c r="C26" s="8" t="str">
        <x:v>레윈존데 정기 하루 2회, 윈드프로파일러 10분 간격 지점 관측.</x:v>
      </x:c>
      <x:c r="D26" s="8" t="str">
        <x:v>https://apihub.kma.go.kr/apiList.do?seqApi=4</x:v>
      </x:c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</x:row>
    <x:row r="27" ht="42" customHeight="1">
      <x:c r="A27" s="8" t="str">
        <x:v>S11</x:v>
      </x:c>
      <x:c r="B27" s="8" t="str">
        <x:v>기상청 APIHub 수치모델</x:v>
      </x:c>
      <x:c r="C27" s="8" t="str">
        <x:v>KIM 예측 파일·변수 후보. 격자·용량 별도 검증 필요.</x:v>
      </x:c>
      <x:c r="D27" s="8" t="str">
        <x:v>https://apihub.kma.go.kr/apiList.do?seqApi=9</x:v>
      </x:c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</x:row>
    <x:row r="28" ht="42" customHeight="1">
      <x:c r="A28" s="8" t="str">
        <x:v>S12</x:v>
      </x:c>
      <x:c r="B28" s="8" t="str">
        <x:v>기상청 APIHub 지상관측</x:v>
      </x:c>
      <x:c r="C28" s="8" t="str">
        <x:v>ASOS CA_TOT 전운량·CH_MIN 최저운고는 지점 관측.</x:v>
      </x:c>
      <x:c r="D28" s="8" t="str">
        <x:v>https://apihub.kma.go.kr/apiList.do</x:v>
      </x:c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</x:row>
    <x:row r="29" ht="42" customHeight="1">
      <x:c r="A29" s="8" t="str">
        <x:v>S13</x:v>
      </x:c>
      <x:c r="B29" s="8" t="str">
        <x:v>기상청 APIHub 낙뢰관측</x:v>
      </x:c>
      <x:c r="C29" s="8" t="str">
        <x:v>lgt_pnt 시간범위·선택적 lon/lat/range, TM/LON/LAT 출력.</x:v>
      </x:c>
      <x:c r="D29" s="8" t="str">
        <x:v>https://apihub.kma.go.kr/apiList.do?apiMov=%EB%82%99%EB%A2%B0+%EC%9B%90%EC%8B%9C%EC%9E%90%EB%A3%8C+%EC%A1%B0%ED%9A%8C&amp;seqApi=5&amp;seqApiSub=264</x:v>
      </x:c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</x:row>
    <x:row r="30" ht="42" customHeight="1">
      <x:c r="A30" s="8" t="str">
        <x:v>S14</x:v>
      </x:c>
      <x:c r="B30" s="8" t="str">
        <x:v>기상청 APIHub 이용안내</x:v>
      </x:c>
      <x:c r="C30" s="8" t="str">
        <x:v>일반회원 하루 20,000회·5GB.</x:v>
      </x:c>
      <x:c r="D30" s="8" t="str">
        <x:v>https://apihub.kma.go.kr/apiInfo.do</x:v>
      </x:c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</x:row>
    <x:row r="31" ht="42" customHeight="1">
      <x:c r="A31" s="8" t="str">
        <x:v>S15</x:v>
      </x:c>
      <x:c r="B31" s="8" t="str">
        <x:v>국립해양조사원 조류예보(시계열)</x:v>
      </x:c>
      <x:c r="C31" s="8" t="str">
        <x:v>약 200개 예보 지점의 유향·유속 시계열. 연 1회 갱신.</x:v>
      </x:c>
      <x:c r="D31" s="8" t="str">
        <x:v>https://www.data.go.kr/data/15156024/openapi.do</x:v>
      </x:c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</x:row>
    <x:row r="32" ht="42" customHeight="1">
      <x:c r="A32" s="8" t="str">
        <x:v>S16</x:v>
      </x:c>
      <x:c r="B32" s="8" t="str">
        <x:v>해양수산부 이안류 감시 보도자료</x:v>
      </x:c>
      <x:c r="C32" s="8" t="str">
        <x:v>주요 10개 해수욕장·개장기간 운영.</x:v>
      </x:c>
      <x:c r="D32" s="8" t="str">
        <x:v>https://www.mof.go.kr/doc/ko/selectDoc.do?bbsSeq=10&amp;docSeq=57128&amp;menuSeq=971&amp;pWiseMain=N2&amp;pwise=mMain</x:v>
      </x:c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</x:row>
    <x:row r="33" ht="42" customHeight="1">
      <x:c r="A33" s="8" t="str">
        <x:v>S17</x:v>
      </x:c>
      <x:c r="B33" s="8" t="str">
        <x:v>기상청 동네예보 격자영역 정보</x:v>
      </x:c>
      <x:c r="C33" s="8" t="str">
        <x:v>동서 149×남북 253의 5km 격자, Lambert 투영 및 변환 기준.</x:v>
      </x:c>
      <x:c r="D33" s="8" t="str">
        <x:v>https://apihub.kma.go.kr/getAttachFile.do?fileName=%2820240305%29%EB%8F%99%EB%84%A4%EC%98%88%EB%B3%B4+%EA%B2%A9%EC%9E%90%EC%98%81%EC%97%AD+%EC%A0%95%EB%B3%B4.pdf</x:v>
      </x:c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</x:row>
  </x:sheetData>
  <x:pageMargins left="0.7" right="0.7" top="0.75" bottom="0.75" header="0.3" footer="0.3"/>
</x:worksheet>
</file>