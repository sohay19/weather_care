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219e3d249542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항목별 판단" sheetId="1" r:id="R640857f49f7b46db"/>
    <x:sheet xmlns:r="http://schemas.openxmlformats.org/officeDocument/2006/relationships" name="API 호출 산정" sheetId="2" r:id="Rf84cb133cbb44ae6"/>
    <x:sheet xmlns:r="http://schemas.openxmlformats.org/officeDocument/2006/relationships" name="근거와 가정" sheetId="3" r:id="Rec23bc58b52548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#,##0.0"/>
    <x:numFmt numFmtId="202" formatCode="#,##0.000"/>
  </x:numFmts>
  <x:fonts count="4">
    <x:font>
      <x:sz val="11"/>
      <x:name val="Carlito"/>
    </x:font>
    <x:font>
      <x:sz val="10"/>
      <x:color rgb="FF1F2937"/>
      <x:name val="Arial"/>
    </x:font>
    <x:font>
      <x:b/>
      <x:sz val="15"/>
      <x:color rgb="FF17365D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0C2"/>
      </x:patternFill>
    </x:fill>
    <x:fill>
      <x:patternFill patternType="solid">
        <x:fgColor rgb="FFEAF1F8"/>
      </x:patternFill>
    </x:fill>
    <x:fill>
      <x:patternFill patternType="solid">
        <x:fgColor rgb="FFFBE4E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176fcaa32d48aa" /><Relationship Type="http://schemas.openxmlformats.org/officeDocument/2006/relationships/theme" Target="/xl/theme/theme1.xml" Id="Rf5c30ddcd5fa48fa" /><Relationship Type="http://schemas.openxmlformats.org/officeDocument/2006/relationships/sharedStrings" Target="/xl/sharedStrings.xml" Id="Rfcafaf48119b463c" /><Relationship Type="http://schemas.openxmlformats.org/officeDocument/2006/relationships/worksheet" Target="/xl/worksheets/sheet1.xml" Id="R640857f49f7b46db" /><Relationship Type="http://schemas.openxmlformats.org/officeDocument/2006/relationships/worksheet" Target="/xl/worksheets/sheet2.xml" Id="Rf84cb133cbb44ae6" /><Relationship Type="http://schemas.openxmlformats.org/officeDocument/2006/relationships/worksheet" Target="/xl/worksheets/sheet3.xml" Id="Rec23bc58b52548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0" hidden="0" customWidth="1"/>
    <x:col min="2" max="2" width="18" hidden="0" customWidth="1"/>
    <x:col min="3" max="3" width="13" hidden="0" customWidth="1"/>
    <x:col min="4" max="4" width="34" hidden="0" customWidth="1"/>
    <x:col min="5" max="5" width="36" hidden="0" customWidth="1"/>
    <x:col min="6" max="6" width="67" hidden="0" customWidth="1"/>
    <x:col min="7" max="7" width="29" hidden="0" customWidth="1"/>
    <x:col min="8" max="8" width="34" hidden="0" customWidth="1"/>
    <x:col min="9" max="9" width="15" hidden="0" customWidth="1"/>
    <x:col min="10" max="10" width="29" hidden="0" customWidth="1"/>
    <x:col min="11" max="11" width="34" hidden="0" customWidth="1"/>
    <x:col min="12" max="12" width="16" hidden="0" customWidth="1"/>
    <x:col min="13" max="13" width="16" hidden="0" customWidth="1"/>
    <x:col min="14" max="14" width="40" hidden="0" customWidth="1"/>
    <x:col min="15" max="15" width="53" hidden="0" customWidth="1"/>
    <x:col min="16" max="16" width="72" hidden="0" customWidth="1"/>
    <x:col min="17" max="17" width="18" hidden="0" customWidth="1"/>
    <x:col min="18" max="18" width="40" hidden="0" customWidth="1"/>
    <x:col min="19" max="19" width="37" hidden="0" customWidth="1"/>
    <x:col min="20" max="20" width="13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3" t="str">
        <x:v>격자 기반 날씨 항목 API 조사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2" t="str">
        <x:v>기준: 2026-10-14, 기상청 nx/ny 전국 원본판 149×253=37,697셀. 지점 자료는 해당 지점이 있는 격자 또는 명시한 주변 시설에만 연결한다.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>
      <x:c r="A4" s="2" t="str">
        <x:v>판정: 격자 전체에 실제 값을 줄 수 있는 항목은 제한적이다. 같은 API를 공유하는 항목의 호출 수는 행별로 반복 표기하지만 API 호출 산정 탭의 총합에서는 한 번만 센다.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</x:row>
    <x:row r="6" ht="36" customHeight="1">
      <x:c r="A6" s="7" t="str">
        <x:v>분류</x:v>
      </x:c>
      <x:c r="B6" s="7" t="str">
        <x:v>항목명</x:v>
      </x:c>
      <x:c r="C6" s="7" t="str">
        <x:v>추가 상태</x:v>
      </x:c>
      <x:c r="D6" s="7" t="str">
        <x:v>API가 제공하는 구역</x:v>
      </x:c>
      <x:c r="E6" s="7" t="str">
        <x:v>우리격자구역(API 구역과 비교)</x:v>
      </x:c>
      <x:c r="F6" s="7" t="str">
        <x:v>구역 차이와 안내 범위</x:v>
      </x:c>
      <x:c r="G6" s="7" t="str">
        <x:v>현재·지난 시간대별 안내</x:v>
      </x:c>
      <x:c r="H6" s="7" t="str">
        <x:v>현재·지난 API 호출정보</x:v>
      </x:c>
      <x:c r="I6" s="7" t="str">
        <x:v>관측 호출/일</x:v>
      </x:c>
      <x:c r="J6" s="7" t="str">
        <x:v>미래 시간대별 안내</x:v>
      </x:c>
      <x:c r="K6" s="7" t="str">
        <x:v>미래 API 호출정보</x:v>
      </x:c>
      <x:c r="L6" s="7" t="str">
        <x:v>예보 호출/일</x:v>
      </x:c>
      <x:c r="M6" s="7" t="str">
        <x:v>둘 다 가능 시 합계/일</x:v>
      </x:c>
      <x:c r="N6" s="7" t="str">
        <x:v>API한도</x:v>
      </x:c>
      <x:c r="O6" s="7" t="str">
        <x:v>한도 결과(가능/불가능 + 이유)</x:v>
      </x:c>
      <x:c r="P6" s="7" t="str">
        <x:v>운영계정 전환·증량 시</x:v>
      </x:c>
      <x:c r="Q6" s="7" t="str">
        <x:v>제공처</x:v>
      </x:c>
      <x:c r="R6" s="7" t="str">
        <x:v>자료 범위·표시 주의</x:v>
      </x:c>
      <x:c r="S6" s="7" t="str">
        <x:v>추가 신청·확인</x:v>
      </x:c>
      <x:c r="T6" s="7" t="str">
        <x:v>근거</x:v>
      </x:c>
    </x:row>
    <x:row r="7" ht="93" customHeight="1">
      <x:c r="A7" s="8" t="str">
        <x:v>바다</x:v>
      </x:c>
      <x:c r="B7" s="8" t="str">
        <x:v>수온</x:v>
      </x:c>
      <x:c r="C7" s="8" t="str">
        <x:v>검토</x:v>
      </x:c>
      <x:c r="D7" s="8" t="str">
        <x:v>해양관측부이 지점 좌표; ROMS 해상 예측 bbox</x:v>
      </x:c>
      <x:c r="E7" s="8" t="str">
        <x:v>부이 격자만 실측; ROMS는 해상 nx/ny에 재매핑</x:v>
      </x:c>
      <x:c r="F7" s="8" t="str">
        <x:v>예: 해운대 앞바다. 우리 격자 1칸은 약 5×5km(25㎢)지만 부이 관측은 한 점이다. ROMS 해상 모델 격자도 경계가 달라 변환이 필요하며 관측·예측을 구분해 안내한다.</x:v>
      </x:c>
      <x:c r="G7" s="8" t="str">
        <x:v>가능: 지점 관측 시계열</x:v>
      </x:c>
      <x:c r="H7" s="8" t="str">
        <x:v>해양부이 40곳×24회; 수온·유향·유속 공유</x:v>
      </x:c>
      <x:c r="I7" s="19" t="n">
        <x:f>'API 호출 산정'!F7</x:f>
        <x:v>960</x:v>
      </x:c>
      <x:c r="J7" s="19" t="str">
        <x:v>가능: 모델값</x:v>
      </x:c>
      <x:c r="K7" s="19" t="str">
        <x:v>ROMS 10해역×24미래시각 가정</x:v>
      </x:c>
      <x:c r="L7" s="19" t="n">
        <x:f>'API 호출 산정'!F10</x:f>
        <x:v>240</x:v>
      </x:c>
      <x:c r="M7" s="19" t="n">
        <x:f>I7+L7</x:f>
        <x:v>1200</x:v>
      </x:c>
      <x:c r="N7" s="8" t="str">
        <x:v>해당 API 개발계정 10,000회/일; 운영계정 증량 가능(고정 숫자 미공개); 용량 한도 미공개</x:v>
      </x:c>
      <x:c r="O7" s="10" t="str">
        <x:v>가능(계획): 부이 960·ROMS 240회/일, 각각 1만 회 미만. 용량 한도·bbox 분할 미검증.</x:v>
      </x:c>
      <x:c r="P7" s="8" t="str">
        <x:v>현재 호출안은 개발계정 1만 회 미만. 운영계정은 심의승인·활용사례 등록 후 증량 신청 가능하지만 현재는 불필요하며 공간 범위는 동일.</x:v>
      </x:c>
      <x:c r="Q7" s="8" t="str">
        <x:v>국립해양조사원</x:v>
      </x:c>
      <x:c r="R7" s="8" t="str">
        <x:v>관측 없는 바다 격자에 관측값 생성 금지</x:v>
      </x:c>
      <x:c r="S7" s="8" t="str">
        <x:v>부이 최신관측·ROMS 활용신청, 공간 범위 실측</x:v>
      </x:c>
      <x:c r="T7" s="8" t="str">
        <x:v>S2,S5,S19</x:v>
      </x:c>
    </x:row>
    <x:row r="8" ht="93" customHeight="1">
      <x:c r="A8" s="8" t="str">
        <x:v>바다</x:v>
      </x:c>
      <x:c r="B8" s="8" t="str">
        <x:v>만조/간조</x:v>
      </x:c>
      <x:c r="C8" s="8" t="str">
        <x:v>검토</x:v>
      </x:c>
      <x:c r="D8" s="8" t="str">
        <x:v>연안 조석 예보 지점</x:v>
      </x:c>
      <x:c r="E8" s="8" t="str">
        <x:v>예보 지점이 속한 연안 격자만 연결</x:v>
      </x:c>
      <x:c r="F8" s="8" t="str">
        <x:v>예: 해운대 해변 길이는 약 1.5km로 격자 한 변 5km의 약 30%다. 예보 지점의 만·간조 시각은 그 지점 기준이며, 해변 밖이나 격자 전체에 동일하게 적용하지 않는다.</x:v>
      </x:c>
      <x:c r="G8" s="8" t="str">
        <x:v>관측 극값의 시간별 API 미확인</x:v>
      </x:c>
      <x:c r="H8" s="8" t="str">
        <x:v>관측 조위에서 극값 산출 시 별도 검증 필요</x:v>
      </x:c>
      <x:c r="I8" s="19"/>
      <x:c r="J8" s="19" t="str">
        <x:v>부분 가능: 일별 고·저조 시각 이벤트</x:v>
      </x:c>
      <x:c r="K8" s="19" t="str">
        <x:v>예보지점 50곳×요청일 1회</x:v>
      </x:c>
      <x:c r="L8" s="19" t="n">
        <x:f>'API 호출 산정'!F8</x:f>
        <x:v>50</x:v>
      </x:c>
      <x:c r="M8" s="19"/>
      <x:c r="N8" s="8" t="str">
        <x:v>해당 API 개발계정 10,000회/일; 운영계정 증량 가능(고정 숫자 미공개); 용량 한도 미공개</x:v>
      </x:c>
      <x:c r="O8" s="10" t="str">
        <x:v>가능(계획): 고저조 50회/일로 1만 회 미만. 예보 지점만 제공.</x:v>
      </x:c>
      <x:c r="P8" s="8" t="str">
        <x:v>현재 호출안은 개발계정 1만 회 미만. 운영계정 증량은 가능성만 안내되며 지점 부족은 해결하지 못함.</x:v>
      </x:c>
      <x:c r="Q8" s="8" t="str">
        <x:v>국립해양조사원</x:v>
      </x:c>
      <x:c r="R8" s="8" t="str">
        <x:v>실제 만·간조와 예측 이벤트를 혼동 금지</x:v>
      </x:c>
      <x:c r="S8" s="8" t="str">
        <x:v>고·저조 예보 활용신청, 지점-격자 매핑</x:v>
      </x:c>
      <x:c r="T8" s="8" t="str">
        <x:v>S3,S19</x:v>
      </x:c>
    </x:row>
    <x:row r="9" ht="93" customHeight="1">
      <x:c r="A9" s="8" t="str">
        <x:v>바다</x:v>
      </x:c>
      <x:c r="B9" s="8" t="str">
        <x:v>조위</x:v>
      </x:c>
      <x:c r="C9" s="8" t="str">
        <x:v>검토</x:v>
      </x:c>
      <x:c r="D9" s="8" t="str">
        <x:v>조위관측소 지점; 조석 예보 지점</x:v>
      </x:c>
      <x:c r="E9" s="8" t="str">
        <x:v>관측·예보 지점이 속한 격자만 연결</x:v>
      </x:c>
      <x:c r="F9" s="8" t="str">
        <x:v>예: 해운대 연안을 기준으로 보면 조위 관측·예보는 지정 지점의 값이다. 우리 격자 1칸 약 25㎢ 안의 다른 항만·연안까지 동일 조위로 안내할 수 없다.</x:v>
      </x:c>
      <x:c r="G9" s="8" t="str">
        <x:v>가능: 지점 관측 시계열</x:v>
      </x:c>
      <x:c r="H9" s="8" t="str">
        <x:v>조위관측소 50곳×24회; 수온 등 공유</x:v>
      </x:c>
      <x:c r="I9" s="19" t="n">
        <x:f>'API 호출 산정'!F6</x:f>
        <x:v>1200</x:v>
      </x:c>
      <x:c r="J9" s="19" t="str">
        <x:v>가능: 지점 조석 시계열 예측</x:v>
      </x:c>
      <x:c r="K9" s="19" t="str">
        <x:v>예보지점 50곳×요청일 1회</x:v>
      </x:c>
      <x:c r="L9" s="19" t="n">
        <x:f>'API 호출 산정'!F9</x:f>
        <x:v>50</x:v>
      </x:c>
      <x:c r="M9" s="19" t="n">
        <x:f>I9+L9</x:f>
        <x:v>1250</x:v>
      </x:c>
      <x:c r="N9" s="8" t="str">
        <x:v>해당 API 개발계정 10,000회/일; 운영계정 증량 가능(고정 숫자 미공개); 용량 한도 미공개</x:v>
      </x:c>
      <x:c r="O9" s="10" t="str">
        <x:v>가능(계획): 관측 1,200·예보 50회/일, 각 API 1만 회 미만. 용량 한도 미공개.</x:v>
      </x:c>
      <x:c r="P9" s="8" t="str">
        <x:v>현재 호출안은 각 개발계정 API 한도 내. 운영계정 증량 가능성은 있으나 지점 관측·예보의 공간 차이는 그대로.</x:v>
      </x:c>
      <x:c r="Q9" s="8" t="str">
        <x:v>국립해양조사원</x:v>
      </x:c>
      <x:c r="R9" s="8" t="str">
        <x:v>관측 조위와 천문조석 예측값의 차이 존재</x:v>
      </x:c>
      <x:c r="S9" s="8" t="str">
        <x:v>관측·시계열 예보 활용신청, 기준면 검증</x:v>
      </x:c>
      <x:c r="T9" s="8" t="str">
        <x:v>S1,S4,S19</x:v>
      </x:c>
    </x:row>
    <x:row r="10" ht="93" customHeight="1">
      <x:c r="A10" s="8" t="str">
        <x:v>바다</x:v>
      </x:c>
      <x:c r="B10" s="8" t="str">
        <x:v>유속</x:v>
      </x:c>
      <x:c r="C10" s="8" t="str">
        <x:v>검토</x:v>
      </x:c>
      <x:c r="D10" s="8" t="str">
        <x:v>해양관측부이 지점; ROMS 해상 예측 bbox</x:v>
      </x:c>
      <x:c r="E10" s="8" t="str">
        <x:v>부이 격자만 실측; ROMS 해상 격자 변환</x:v>
      </x:c>
      <x:c r="F10" s="8" t="str">
        <x:v>예: 해운대 앞바다를 기준으로 보면 부이 유속은 한 위치·수심의 값, 우리 격자는 약 25㎢다. ROMS 표층값을 변환해도 격자 전체의 실측 유속은 아니다.</x:v>
      </x:c>
      <x:c r="G10" s="8" t="str">
        <x:v>가능: 부이 관측 시계열</x:v>
      </x:c>
      <x:c r="H10" s="8" t="str">
        <x:v>해양부이 40곳×24회; 수온·유향 공유</x:v>
      </x:c>
      <x:c r="I10" s="19" t="n">
        <x:f>'API 호출 산정'!F7</x:f>
        <x:v>960</x:v>
      </x:c>
      <x:c r="J10" s="19" t="str">
        <x:v>가능: 표층 모델 예측</x:v>
      </x:c>
      <x:c r="K10" s="19" t="str">
        <x:v>ROMS 10해역×24미래시각 가정</x:v>
      </x:c>
      <x:c r="L10" s="19" t="n">
        <x:f>'API 호출 산정'!F10</x:f>
        <x:v>240</x:v>
      </x:c>
      <x:c r="M10" s="19" t="n">
        <x:f>I10+L10</x:f>
        <x:v>1200</x:v>
      </x:c>
      <x:c r="N10" s="8" t="str">
        <x:v>해당 API 개발계정 10,000회/일; 운영계정 증량 가능(고정 숫자 미공개); 용량 한도 미공개</x:v>
      </x:c>
      <x:c r="O10" s="10" t="str">
        <x:v>가능(계획): 부이 960·ROMS 240회/일, 각각 1만 회 미만. 용량 한도·bbox 분할 미검증.</x:v>
      </x:c>
      <x:c r="P10" s="8" t="str">
        <x:v>현재 호출안은 각 개발계정 API 한도 내. ROMS bbox·페이지 제약은 운영계정 전환만으로 해결 보장 안 됨.</x:v>
      </x:c>
      <x:c r="Q10" s="8" t="str">
        <x:v>국립해양조사원</x:v>
      </x:c>
      <x:c r="R10" s="8" t="str">
        <x:v>조류예보 시계열은 약 200 지점의 별도 대안</x:v>
      </x:c>
      <x:c r="S10" s="8" t="str">
        <x:v>부이·ROMS 신청, 깊이/단위 검증</x:v>
      </x:c>
      <x:c r="T10" s="8" t="str">
        <x:v>S2,S5,S15,S19</x:v>
      </x:c>
    </x:row>
    <x:row r="11" ht="93" customHeight="1">
      <x:c r="A11" s="8" t="str">
        <x:v>바다</x:v>
      </x:c>
      <x:c r="B11" s="8" t="str">
        <x:v>유향</x:v>
      </x:c>
      <x:c r="C11" s="8" t="str">
        <x:v>검토</x:v>
      </x:c>
      <x:c r="D11" s="8" t="str">
        <x:v>해양관측부이 지점; ROMS 해상 예측 bbox</x:v>
      </x:c>
      <x:c r="E11" s="8" t="str">
        <x:v>부이 격자만 실측; ROMS 해상 격자 변환</x:v>
      </x:c>
      <x:c r="F11" s="8" t="str">
        <x:v>예: 해운대 앞바다를 기준으로 보면 부이 유향은 한 위치·수심의 값, 우리 격자는 약 25㎢다. ROMS 방향은 좌표·방향 기준을 맞춘 모델 예측으로만 안내한다.</x:v>
      </x:c>
      <x:c r="G11" s="8" t="str">
        <x:v>가능: 부이 관측 시계열</x:v>
      </x:c>
      <x:c r="H11" s="8" t="str">
        <x:v>해양부이 40곳×24회; 수온·유속 공유</x:v>
      </x:c>
      <x:c r="I11" s="19" t="n">
        <x:f>'API 호출 산정'!F7</x:f>
        <x:v>960</x:v>
      </x:c>
      <x:c r="J11" s="19" t="str">
        <x:v>가능: 표층 모델 예측</x:v>
      </x:c>
      <x:c r="K11" s="19" t="str">
        <x:v>ROMS 10해역×24미래시각 가정</x:v>
      </x:c>
      <x:c r="L11" s="19" t="n">
        <x:f>'API 호출 산정'!F10</x:f>
        <x:v>240</x:v>
      </x:c>
      <x:c r="M11" s="19" t="n">
        <x:f>I11+L11</x:f>
        <x:v>1200</x:v>
      </x:c>
      <x:c r="N11" s="8" t="str">
        <x:v>해당 API 개발계정 10,000회/일; 운영계정 증량 가능(고정 숫자 미공개); 용량 한도 미공개</x:v>
      </x:c>
      <x:c r="O11" s="10" t="str">
        <x:v>가능(계획): 부이 960·ROMS 240회/일, 각각 1만 회 미만. 용량 한도·bbox 분할 미검증.</x:v>
      </x:c>
      <x:c r="P11" s="8" t="str">
        <x:v>현재 호출안은 각 개발계정 API 한도 내. ROMS bbox·페이지 제약은 운영계정 전환만으로 해결 보장 안 됨.</x:v>
      </x:c>
      <x:c r="Q11" s="8" t="str">
        <x:v>국립해양조사원</x:v>
      </x:c>
      <x:c r="R11" s="8" t="str">
        <x:v>풍향과 유향의 의미가 다름</x:v>
      </x:c>
      <x:c r="S11" s="8" t="str">
        <x:v>부이·ROMS 신청, 방향 정의 검증</x:v>
      </x:c>
      <x:c r="T11" s="8" t="str">
        <x:v>S2,S5,S15,S19</x:v>
      </x:c>
    </x:row>
    <x:row r="12" ht="93" customHeight="1">
      <x:c r="A12" s="8" t="str">
        <x:v>바다</x:v>
      </x:c>
      <x:c r="B12" s="8" t="str">
        <x:v>이안류 위험지수</x:v>
      </x:c>
      <x:c r="C12" s="8" t="str">
        <x:v>검토</x:v>
      </x:c>
      <x:c r="D12" s="8" t="str">
        <x:v>지정 이안류 감시 해수욕장</x:v>
      </x:c>
      <x:c r="E12" s="8" t="str">
        <x:v>해수욕장 위치 격자만 연결</x:v>
      </x:c>
      <x:c r="F12" s="8" t="str">
        <x:v>예: 해운대 해변 약 1.5km는 격자 한 변 5km의 약 30%(길이만 비교)다. 이안류 지수는 해운대 해수욕장에만 해당하며 같은 격자의 다른 바다·해변에는 적용하지 않는다.</x:v>
      </x:c>
      <x:c r="G12" s="8" t="str">
        <x:v>가능: 해수욕장 관측 시각</x:v>
      </x:c>
      <x:c r="H12" s="8" t="str">
        <x:v>10개 해수욕장×24회 가정</x:v>
      </x:c>
      <x:c r="I12" s="19" t="n">
        <x:f>'API 호출 산정'!F11</x:f>
        <x:v>240</x:v>
      </x:c>
      <x:c r="J12" s="19" t="str">
        <x:v>공식 미래 시간별 지수 미확인</x:v>
      </x:c>
      <x:c r="K12" s="19" t="str">
        <x:v>추정 예보로 표시하지 않음</x:v>
      </x:c>
      <x:c r="L12" s="19"/>
      <x:c r="M12" s="19"/>
      <x:c r="N12" s="8" t="str">
        <x:v>해당 API 개발계정 10,000회/일; 운영계정 증량 가능(고정 숫자 미공개); 용량 한도 미공개</x:v>
      </x:c>
      <x:c r="O12" s="10" t="str">
        <x:v>가능(계획): 240회/일로 1만 회 미만. 감시 해수욕장·계절에 한정.</x:v>
      </x:c>
      <x:c r="P12" s="8" t="str">
        <x:v>현재 호출안은 개발계정 한도 내. 운영계정 증량으로 지정 해수욕장 수나 운영기간은 늘지 않음.</x:v>
      </x:c>
      <x:c r="Q12" s="8" t="str">
        <x:v>국립해양조사원</x:v>
      </x:c>
      <x:c r="R12" s="8" t="str">
        <x:v>4단계 지수; 해수욕장 밖 같은 격자로 확장 금지</x:v>
      </x:c>
      <x:c r="S12" s="8" t="str">
        <x:v>이안류 API 신청, 운영기간 확인</x:v>
      </x:c>
      <x:c r="T12" s="8" t="str">
        <x:v>S6,S19</x:v>
      </x:c>
    </x:row>
    <x:row r="13" ht="93" customHeight="1">
      <x:c r="A13" s="8" t="str">
        <x:v>바다</x:v>
      </x:c>
      <x:c r="B13" s="8" t="str">
        <x:v>해파리 정보</x:v>
      </x:c>
      <x:c r="C13" s="8" t="str">
        <x:v>검토</x:v>
      </x:c>
      <x:c r="D13" s="8" t="str">
        <x:v>속보·주간보고의 광역 해역</x:v>
      </x:c>
      <x:c r="E13" s="8" t="str">
        <x:v>광역 해역을 5km 격자값으로 환산 불가</x:v>
      </x:c>
      <x:c r="F13" s="8" t="str">
        <x:v>예: 해운대 앞바다를 약 25㎢ 격자로 나눠도 해파리 속보의 광역 해역·발견 지점은 셀 경계와 일치하지 않는다. 격자별 출현 수치로 환산하지 않고 원문 해역 범위로 안내한다.</x:v>
      </x:c>
      <x:c r="G13" s="8" t="str">
        <x:v>시간별 수치 안내 불가</x:v>
      </x:c>
      <x:c r="H13" s="8" t="str">
        <x:v>목록 4회/일 가정+신규 문서 상세. 시간별 호출에서 제외</x:v>
      </x:c>
      <x:c r="I13" s="19"/>
      <x:c r="J13" s="19" t="str">
        <x:v>시간별 예보 불가</x:v>
      </x:c>
      <x:c r="K13" s="19" t="str">
        <x:v>주간보고의 금후전망은 정량 시간 예보 아님</x:v>
      </x:c>
      <x:c r="L13" s="19"/>
      <x:c r="M13" s="19"/>
      <x:c r="N13" s="8" t="str">
        <x:v>호출·용량 한도 공개값 미확인</x:v>
      </x:c>
      <x:c r="O13" s="10" t="str">
        <x:v>판정 불가: 공식 호출·용량 한도 미확인. 시간별 격자 제공도 불가.</x:v>
      </x:c>
      <x:c r="P13" s="8" t="str">
        <x:v>운영계정 구분·증량 가능 여부 공개 확인 불가. 계정 변경만으로 시간별 5km 격자 자료는 생기지 않음.</x:v>
      </x:c>
      <x:c r="Q13" s="8" t="str">
        <x:v>국립수산과학원</x:v>
      </x:c>
      <x:c r="R13" s="8" t="str">
        <x:v>속보·주간보고를 지도 설명으로 제공 가능</x:v>
      </x:c>
      <x:c r="S13" s="8" t="str">
        <x:v>NIFS API 신청, 해역 경계 해석</x:v>
      </x:c>
      <x:c r="T13" s="8" t="str">
        <x:v>S7,S19</x:v>
      </x:c>
    </x:row>
    <x:row r="14" ht="93" customHeight="1">
      <x:c r="A14" s="8" t="str">
        <x:v>강</x:v>
      </x:c>
      <x:c r="B14" s="8" t="str">
        <x:v>하천 수위</x:v>
      </x:c>
      <x:c r="C14" s="8" t="str">
        <x:v>검토</x:v>
      </x:c>
      <x:c r="D14" s="8" t="str">
        <x:v>하천 수위관측소 지점</x:v>
      </x:c>
      <x:c r="E14" s="8" t="str">
        <x:v>관측소가 위치한 하천 격자만 연결</x:v>
      </x:c>
      <x:c r="F14" s="8" t="str">
        <x:v>예: 안동댐 방수로 관측 지점은 하천의 한 단면이다. 우리 격자 1칸은 약 5×5km(25㎢)이므로 같은 칸의 다른 지류·상하류 수위까지 대표하지 않는다.</x:v>
      </x:c>
      <x:c r="G14" s="8" t="str">
        <x:v>가능: 관측소별 시계열</x:v>
      </x:c>
      <x:c r="H14" s="8" t="str">
        <x:v>100관측소×24회 가정; 유량 공유</x:v>
      </x:c>
      <x:c r="I14" s="19" t="n">
        <x:f>'API 호출 산정'!F12</x:f>
        <x:v>2400</x:v>
      </x:c>
      <x:c r="J14" s="19" t="str">
        <x:v>전국 격자 시간별 공식 예보 미확인</x:v>
      </x:c>
      <x:c r="K14" s="19" t="str">
        <x:v>홍수예보 일부 지점과 별도</x:v>
      </x:c>
      <x:c r="L14" s="19"/>
      <x:c r="M14" s="19"/>
      <x:c r="N14" s="8" t="str">
        <x:v>해당 API 개발계정 10,000회/일; 운영계정 증량 가능(고정 숫자 미공개); 용량 한도 미공개</x:v>
      </x:c>
      <x:c r="O14" s="11" t="str">
        <x:v>가능(시간별): 개발 2,400회/일&lt;1만 회. 10분안은 개발 1만 회 초과지만 운영계정 승인 한도 14,400회+재시도분이면 가능.</x:v>
      </x:c>
      <x:c r="P14" s="8" t="str">
        <x:v>운영계정으로 한도 상향 신청 가능. 이 API의 운영계정 고정 횟수는 공개되지 않음. 14,400회/일+페이지·재시도분 이상 승인되면 10분 수집 가능.</x:v>
      </x:c>
      <x:c r="Q14" s="8" t="str">
        <x:v>한국수자원공사</x:v>
      </x:c>
      <x:c r="R14" s="8" t="str">
        <x:v>격자 안 모든 하천의 수위가 같지 않음</x:v>
      </x:c>
      <x:c r="S14" s="8" t="str">
        <x:v>우량수위 API 신청, 지점목록 확정</x:v>
      </x:c>
      <x:c r="T14" s="8" t="str">
        <x:v>S8,S21</x:v>
      </x:c>
    </x:row>
    <x:row r="15" ht="93" customHeight="1">
      <x:c r="A15" s="8" t="str">
        <x:v>강</x:v>
      </x:c>
      <x:c r="B15" s="8" t="str">
        <x:v>하천 유량</x:v>
      </x:c>
      <x:c r="C15" s="8" t="str">
        <x:v>검토</x:v>
      </x:c>
      <x:c r="D15" s="8" t="str">
        <x:v>하천 유량관측소 지점</x:v>
      </x:c>
      <x:c r="E15" s="8" t="str">
        <x:v>관측소가 위치한 하천 격자만 연결</x:v>
      </x:c>
      <x:c r="F15" s="8" t="str">
        <x:v>예: 안동댐 방수로 지점의 유량은 해당 하천 단면을 통과하는 양이다. 우리 격자 약 25㎢ 전체나 같은 칸의 다른 하천 유량으로 확장할 수 없다.</x:v>
      </x:c>
      <x:c r="G15" s="8" t="str">
        <x:v>가능: 관측소별 시계열</x:v>
      </x:c>
      <x:c r="H15" s="8" t="str">
        <x:v>100관측소×24회 가정; 수위 공유</x:v>
      </x:c>
      <x:c r="I15" s="19" t="n">
        <x:f>'API 호출 산정'!F12</x:f>
        <x:v>2400</x:v>
      </x:c>
      <x:c r="J15" s="19" t="str">
        <x:v>전국 격자 시간별 공식 예보 미확인</x:v>
      </x:c>
      <x:c r="K15" s="19" t="str">
        <x:v>홍수예보 일부 지점과 별도</x:v>
      </x:c>
      <x:c r="L15" s="19"/>
      <x:c r="M15" s="19"/>
      <x:c r="N15" s="8" t="str">
        <x:v>해당 API 개발계정 10,000회/일; 운영계정 증량 가능(고정 숫자 미공개); 용량 한도 미공개</x:v>
      </x:c>
      <x:c r="O15" s="11" t="str">
        <x:v>가능(시간별): 개발 2,400회/일&lt;1만 회. 10분안은 개발 1만 회 초과지만 운영계정 승인 한도 14,400회+재시도분이면 가능.</x:v>
      </x:c>
      <x:c r="P15" s="8" t="str">
        <x:v>운영계정으로 한도 상향 신청 가능. 이 API의 운영계정 고정 횟수는 공개되지 않음. 14,400회/일+페이지·재시도분 이상 승인되면 10분 수집 가능.</x:v>
      </x:c>
      <x:c r="Q15" s="8" t="str">
        <x:v>한국수자원공사</x:v>
      </x:c>
      <x:c r="R15" s="8" t="str">
        <x:v>유량은 하천 단면의 값; 면적 전체값 아님</x:v>
      </x:c>
      <x:c r="S15" s="8" t="str">
        <x:v>우량수위 API 신청, 관측소 좌표/하천 연결</x:v>
      </x:c>
      <x:c r="T15" s="8" t="str">
        <x:v>S8,S21</x:v>
      </x:c>
    </x:row>
    <x:row r="16" ht="93" customHeight="1">
      <x:c r="A16" s="8" t="str">
        <x:v>강</x:v>
      </x:c>
      <x:c r="B16" s="8" t="str">
        <x:v>댐 수위</x:v>
      </x:c>
      <x:c r="C16" s="8" t="str">
        <x:v>검토</x:v>
      </x:c>
      <x:c r="D16" s="8" t="str">
        <x:v>K-water 댐·보 시설 지점</x:v>
      </x:c>
      <x:c r="E16" s="8" t="str">
        <x:v>댐 시설 위치 격자만 연결</x:v>
      </x:c>
      <x:c r="F16" s="8" t="str">
        <x:v>예: 안동댐 수위는 댐 시설·저수지의 값이다. 우리 격자 약 25㎢와 범위가 다르고 저수지가 여러 칸에 걸쳐도 각 칸의 지형 높이가 같은 뜻은 아니다.</x:v>
      </x:c>
      <x:c r="G16" s="8" t="str">
        <x:v>가능: 댐별 시계열</x:v>
      </x:c>
      <x:c r="H16" s="8" t="str">
        <x:v>61댐·보×24회; 유입·방류 공유</x:v>
      </x:c>
      <x:c r="I16" s="19" t="n">
        <x:f>'API 호출 산정'!F13</x:f>
        <x:v>1464</x:v>
      </x:c>
      <x:c r="J16" s="19" t="str">
        <x:v>공식 전국 시간별 예보 미확인</x:v>
      </x:c>
      <x:c r="K16" s="19" t="str">
        <x:v>운영계획은 실제 수위 예보와 구분</x:v>
      </x:c>
      <x:c r="L16" s="19"/>
      <x:c r="M16" s="19"/>
      <x:c r="N16" s="8" t="str">
        <x:v>해당 API 개발계정 10,000회/일; 운영계정 증량 가능(고정 숫자 미공개); 용량 한도 미공개</x:v>
      </x:c>
      <x:c r="O16" s="10" t="str">
        <x:v>가능(시간별): 1,464회/일&lt;1만 회. 10분별 61곳은 8,784회로 재시도 여유 작음.</x:v>
      </x:c>
      <x:c r="P16" s="8" t="str">
        <x:v>시간별 1,464회, 10분별 8,784회로 개발계정 1만 회 이내. 운영계정 전환은 필수 아님; 재시도 증가 시 증량 검토.</x:v>
      </x:c>
      <x:c r="Q16" s="8" t="str">
        <x:v>한국수자원공사</x:v>
      </x:c>
      <x:c r="R16" s="8" t="str">
        <x:v>61개 댐·보 범위; 모든 댐 아님</x:v>
      </x:c>
      <x:c r="S16" s="8" t="str">
        <x:v>수문 운영 API 신청, 시설 좌표 매핑</x:v>
      </x:c>
      <x:c r="T16" s="8" t="str">
        <x:v>S9,S21</x:v>
      </x:c>
    </x:row>
    <x:row r="17" ht="93" customHeight="1">
      <x:c r="A17" s="8" t="str">
        <x:v>강</x:v>
      </x:c>
      <x:c r="B17" s="8" t="str">
        <x:v>댐 방류량</x:v>
      </x:c>
      <x:c r="C17" s="8" t="str">
        <x:v>검토</x:v>
      </x:c>
      <x:c r="D17" s="8" t="str">
        <x:v>K-water 댐·보 시설 지점</x:v>
      </x:c>
      <x:c r="E17" s="8" t="str">
        <x:v>댐 시설 격자와 하류 영향구역은 별개</x:v>
      </x:c>
      <x:c r="F17" s="8" t="str">
        <x:v>예: 안동댐 방류량은 댐 출구의 값이다. 우리 격자 한 칸 약 25㎢로 하류 영향 범위를 정할 수 없으며 하천 연결·이동시간이 필요하다.</x:v>
      </x:c>
      <x:c r="G17" s="8" t="str">
        <x:v>가능: 댐별 시계열</x:v>
      </x:c>
      <x:c r="H17" s="8" t="str">
        <x:v>61댐·보×24회; 수위·유입 공유</x:v>
      </x:c>
      <x:c r="I17" s="19" t="n">
        <x:f>'API 호출 산정'!F13</x:f>
        <x:v>1464</x:v>
      </x:c>
      <x:c r="J17" s="19" t="str">
        <x:v>확정 방류계획의 시간별 API 미확인</x:v>
      </x:c>
      <x:c r="K17" s="19" t="str">
        <x:v>예정 방류와 실제 방류를 구분</x:v>
      </x:c>
      <x:c r="L17" s="19"/>
      <x:c r="M17" s="19"/>
      <x:c r="N17" s="8" t="str">
        <x:v>해당 API 개발계정 10,000회/일; 운영계정 증량 가능(고정 숫자 미공개); 용량 한도 미공개</x:v>
      </x:c>
      <x:c r="O17" s="10" t="str">
        <x:v>가능(시간별): 1,464회/일&lt;1만 회. 10분별 61곳은 8,784회로 재시도 여유 작음.</x:v>
      </x:c>
      <x:c r="P17" s="8" t="str">
        <x:v>시간별 1,464회, 10분별 8,784회로 개발계정 1만 회 이내. 운영계정 전환은 필수 아님; 재시도 증가 시 증량 검토.</x:v>
      </x:c>
      <x:c r="Q17" s="8" t="str">
        <x:v>한국수자원공사</x:v>
      </x:c>
      <x:c r="R17" s="8" t="str">
        <x:v>댐 위치 격자만으로 하류 영향 판정 불가</x:v>
      </x:c>
      <x:c r="S17" s="8" t="str">
        <x:v>수문 운영 API 신청, 방류 공지 별도 조사</x:v>
      </x:c>
      <x:c r="T17" s="8" t="str">
        <x:v>S9,S21</x:v>
      </x:c>
    </x:row>
    <x:row r="18" ht="93" customHeight="1">
      <x:c r="A18" s="8" t="str">
        <x:v>강</x:v>
      </x:c>
      <x:c r="B18" s="8" t="str">
        <x:v>댐 유입량</x:v>
      </x:c>
      <x:c r="C18" s="8" t="str">
        <x:v>검토</x:v>
      </x:c>
      <x:c r="D18" s="8" t="str">
        <x:v>K-water 댐·보 시설 지점</x:v>
      </x:c>
      <x:c r="E18" s="8" t="str">
        <x:v>댐 시설 위치 격자만 연결</x:v>
      </x:c>
      <x:c r="F18" s="8" t="str">
        <x:v>예: 안동댐 유입량은 상류에서 댐으로 모이는 집계값이다. 우리 격자 한 칸 약 25㎢의 유량으로 나눌 수 없다.</x:v>
      </x:c>
      <x:c r="G18" s="8" t="str">
        <x:v>가능: 댐별 시계열</x:v>
      </x:c>
      <x:c r="H18" s="8" t="str">
        <x:v>61댐·보×24회; 수위·방류 공유</x:v>
      </x:c>
      <x:c r="I18" s="19" t="n">
        <x:f>'API 호출 산정'!F13</x:f>
        <x:v>1464</x:v>
      </x:c>
      <x:c r="J18" s="19" t="str">
        <x:v>공식 전국 시간별 예보 미확인</x:v>
      </x:c>
      <x:c r="K18" s="19" t="str">
        <x:v>모델 추정치 임의 사용 금지</x:v>
      </x:c>
      <x:c r="L18" s="19"/>
      <x:c r="M18" s="19"/>
      <x:c r="N18" s="8" t="str">
        <x:v>해당 API 개발계정 10,000회/일; 운영계정 증량 가능(고정 숫자 미공개); 용량 한도 미공개</x:v>
      </x:c>
      <x:c r="O18" s="10" t="str">
        <x:v>가능(시간별): 1,464회/일&lt;1만 회. 10분별 61곳은 8,784회로 재시도 여유 작음.</x:v>
      </x:c>
      <x:c r="P18" s="8" t="str">
        <x:v>시간별 1,464회, 10분별 8,784회로 개발계정 1만 회 이내. 운영계정 전환은 필수 아님; 재시도 증가 시 증량 검토.</x:v>
      </x:c>
      <x:c r="Q18" s="8" t="str">
        <x:v>한국수자원공사</x:v>
      </x:c>
      <x:c r="R18" s="8" t="str">
        <x:v>유입량은 운영 자료의 계산값</x:v>
      </x:c>
      <x:c r="S18" s="8" t="str">
        <x:v>수문 운영 API 신청, 단위 확인</x:v>
      </x:c>
      <x:c r="T18" s="8" t="str">
        <x:v>S9,S21</x:v>
      </x:c>
    </x:row>
    <x:row r="19" ht="93" customHeight="1">
      <x:c r="A19" s="8" t="str">
        <x:v>산</x:v>
      </x:c>
      <x:c r="B19" s="8" t="str">
        <x:v>고도별 풍향·풍속</x:v>
      </x:c>
      <x:c r="C19" s="9" t="str">
        <x:v>제외 확정</x:v>
      </x:c>
      <x:c r="D19" s="8" t="str">
        <x:v>윈드프로파일러 지점; KIM 모델 자체 격자</x:v>
      </x:c>
      <x:c r="E19" s="8" t="str">
        <x:v>지점·모델 격자와 nx/ny 불일치; 도입 제외</x:v>
      </x:c>
      <x:c r="F19" s="8" t="str">
        <x:v>예: 설악산 대청봉은 해발 1,708m, 우리 지상 격자는 약 25㎢다. 고층관측은 다른 지점·높이의 점 자료, KIM은 별도 3차원 격자여서 정상 바람으로 바로 안내할 수 없다(도입 제외).</x:v>
      </x:c>
      <x:c r="G19" s="8" t="str">
        <x:v>윈드프로파일러는 10분 지점 관측; 전 격자 시간별 아님</x:v>
      </x:c>
      <x:c r="H19" s="8" t="str">
        <x:v>제외 결정으로 추가 호출 0</x:v>
      </x:c>
      <x:c r="I19" s="19"/>
      <x:c r="J19" s="19" t="str">
        <x:v>KIM 3차원 모델 후보이나 제외</x:v>
      </x:c>
      <x:c r="K19" s="19" t="str">
        <x:v>제외 결정으로 추가 호출 0</x:v>
      </x:c>
      <x:c r="L19" s="19"/>
      <x:c r="M19" s="19"/>
      <x:c r="N19" s="8" t="str">
        <x:v>APIHub 일반회원 공식 20,000회·5GB/일</x:v>
      </x:c>
      <x:c r="O19" s="10" t="str">
        <x:v>도입 제외: 추가 호출·용량 0. 후보 API의 용량은 산정 대상 아님.</x:v>
      </x:c>
      <x:c r="P19" s="8" t="str">
        <x:v>도입 제외. 공공데이터포털 운영계정과 APIHub 회원 구분은 별개이며 계정 변경을 검토할 대상 아님.</x:v>
      </x:c>
      <x:c r="Q19" s="8" t="str">
        <x:v>기상청 APIHub</x:v>
      </x:c>
      <x:c r="R19" s="8" t="str">
        <x:v>레윈존데 정기 관측은 하루 2회; 산의 임의 고도 실측 아님</x:v>
      </x:c>
      <x:c r="S19" s="8" t="str">
        <x:v>현재 신청 대상 아님</x:v>
      </x:c>
      <x:c r="T19" s="8" t="str">
        <x:v>S10,S11,S20</x:v>
      </x:c>
    </x:row>
    <x:row r="20" ht="93" customHeight="1">
      <x:c r="A20" s="8" t="str">
        <x:v>산</x:v>
      </x:c>
      <x:c r="B20" s="8" t="str">
        <x:v>구름 높이</x:v>
      </x:c>
      <x:c r="C20" s="9" t="str">
        <x:v>제외 확정</x:v>
      </x:c>
      <x:c r="D20" s="8" t="str">
        <x:v>ASOS 관측소 지점</x:v>
      </x:c>
      <x:c r="E20" s="8" t="str">
        <x:v>관측소 격자만 실측; 도입 제외</x:v>
      </x:c>
      <x:c r="F20" s="8" t="str">
        <x:v>예: 대청봉 1,708m와 속초 ASOS 관측소 약 18m는 높이만 약 1,690m 차이 난다. 최저운고는 속초 관측점 기준이고 대청봉 주변 약 25㎢의 구름 높이가 아니다(도입 제외).</x:v>
      </x:c>
      <x:c r="G20" s="8" t="str">
        <x:v>지점 관측 가능; 전 산악 격자 시간별 아님</x:v>
      </x:c>
      <x:c r="H20" s="8" t="str">
        <x:v>제외 결정으로 추가 호출 0</x:v>
      </x:c>
      <x:c r="I20" s="19"/>
      <x:c r="J20" s="19" t="str">
        <x:v>같은 의미의 격자 미래 API 검증 안 됨</x:v>
      </x:c>
      <x:c r="K20" s="19" t="str">
        <x:v>제외 결정으로 추가 호출 0</x:v>
      </x:c>
      <x:c r="L20" s="19"/>
      <x:c r="M20" s="19"/>
      <x:c r="N20" s="8" t="str">
        <x:v>APIHub 일반회원 공식 20,000회·5GB/일</x:v>
      </x:c>
      <x:c r="O20" s="10" t="str">
        <x:v>도입 제외: 추가 호출·용량 0. 후보 API의 용량은 산정 대상 아님.</x:v>
      </x:c>
      <x:c r="P20" s="8" t="str">
        <x:v>도입 제외. 공공데이터포털 운영계정과 APIHub 회원 구분은 별개이며 계정 변경을 검토할 대상 아님.</x:v>
      </x:c>
      <x:c r="Q20" s="8" t="str">
        <x:v>기상청 APIHub</x:v>
      </x:c>
      <x:c r="R20" s="8" t="str">
        <x:v>레이더 에코상단 고도는 최저운고가 아님</x:v>
      </x:c>
      <x:c r="S20" s="8" t="str">
        <x:v>현재 신청 대상 아님</x:v>
      </x:c>
      <x:c r="T20" s="8" t="str">
        <x:v>S12,S20,S22</x:v>
      </x:c>
    </x:row>
    <x:row r="21" ht="93" customHeight="1">
      <x:c r="A21" s="8" t="str">
        <x:v>산</x:v>
      </x:c>
      <x:c r="B21" s="8" t="str">
        <x:v>운량 수치</x:v>
      </x:c>
      <x:c r="C21" s="9" t="str">
        <x:v>제외 확정</x:v>
      </x:c>
      <x:c r="D21" s="8" t="str">
        <x:v>ASOS 관측소 지점; KIM 모델 자체 격자</x:v>
      </x:c>
      <x:c r="E21" s="8" t="str">
        <x:v>지점·모델 격자와 nx/ny 불일치; 도입 제외</x:v>
      </x:c>
      <x:c r="F21" s="8" t="str">
        <x:v>예: 대청봉 1,708m와 속초 ASOS 관측소 약 18m는 높이만 약 1,690m 차이 난다. 전운량은 속초 관측점 하늘의 비율이므로 대청봉 격자 약 25㎢ 전체의 실측 운량이 아니다(도입 제외).</x:v>
      </x:c>
      <x:c r="G21" s="8" t="str">
        <x:v>지점 관측 가능; 전 산악 격자 시간별 아님</x:v>
      </x:c>
      <x:c r="H21" s="8" t="str">
        <x:v>제외 결정으로 추가 호출 0</x:v>
      </x:c>
      <x:c r="I21" s="19"/>
      <x:c r="J21" s="19" t="str">
        <x:v>KIM 전운량 모델 후보이나 제외</x:v>
      </x:c>
      <x:c r="K21" s="19" t="str">
        <x:v>제외 결정으로 추가 호출 0</x:v>
      </x:c>
      <x:c r="L21" s="19"/>
      <x:c r="M21" s="19"/>
      <x:c r="N21" s="8" t="str">
        <x:v>APIHub 일반회원 공식 20,000회·5GB/일</x:v>
      </x:c>
      <x:c r="O21" s="10" t="str">
        <x:v>도입 제외: 추가 호출·용량 0. 후보 API의 용량은 산정 대상 아님.</x:v>
      </x:c>
      <x:c r="P21" s="8" t="str">
        <x:v>도입 제외. 공공데이터포털 운영계정과 APIHub 회원 구분은 별개이며 계정 변경을 검토할 대상 아님.</x:v>
      </x:c>
      <x:c r="Q21" s="8" t="str">
        <x:v>기상청 APIHub</x:v>
      </x:c>
      <x:c r="R21" s="8" t="str">
        <x:v>기존 SKY는 맑음·구름많음·흐림 범주</x:v>
      </x:c>
      <x:c r="S21" s="8" t="str">
        <x:v>현재 신청 대상 아님</x:v>
      </x:c>
      <x:c r="T21" s="8" t="str">
        <x:v>S11,S12,S20,S22</x:v>
      </x:c>
    </x:row>
    <x:row r="22" ht="93" customHeight="1">
      <x:c r="A22" s="8" t="str">
        <x:v>그외</x:v>
      </x:c>
      <x:c r="B22" s="8" t="str">
        <x:v>낙뢰</x:v>
      </x:c>
      <x:c r="C22" s="8" t="str">
        <x:v>검토</x:v>
      </x:c>
      <x:c r="D22" s="8" t="str">
        <x:v>전국 낙뢰 발생 좌표</x:v>
      </x:c>
      <x:c r="E22" s="8" t="str">
        <x:v>낙뢰 좌표를 발생 위치 nx/ny로 변환</x:v>
      </x:c>
      <x:c r="F22" s="8" t="str">
        <x:v>API는 개별 발생 좌표를 주므로 우리 격자별 발생 이력은 집계 가능하다. 다만 격자 전체 낙뢰 위험도나 미래 발생 예보를 뜻하지 않는다.</x:v>
      </x:c>
      <x:c r="G22" s="8" t="str">
        <x:v>가능: 관측 좌표·시각</x:v>
      </x:c>
      <x:c r="H22" s="8" t="str">
        <x:v>전국 원시자료 10분마다 1회; 지역별 호출 안 함</x:v>
      </x:c>
      <x:c r="I22" s="19" t="n">
        <x:f>'API 호출 산정'!F14</x:f>
        <x:v>144</x:v>
      </x:c>
      <x:c r="J22" s="19" t="str">
        <x:v>공식 격자별 시간대 예보 미확인</x:v>
      </x:c>
      <x:c r="K22" s="19" t="str">
        <x:v>발생 위치 관측을 미래 발생 예보로 표시 금지</x:v>
      </x:c>
      <x:c r="L22" s="19"/>
      <x:c r="M22" s="19"/>
      <x:c r="N22" s="8" t="str">
        <x:v>APIHub 일반회원 공식 20,000회·5GB/일</x:v>
      </x:c>
      <x:c r="O22" s="9" t="str">
        <x:v>가능(공식 한도): 2MB/회 가정도 겨울 합산 4.53GB&lt;APIHub 5GB. 144회/일 호출도 2만 회 내. 실제 평균 약 5.264MB/회 초과 시 용량 초과.</x:v>
      </x:c>
      <x:c r="P22" s="8" t="str">
        <x:v>공공데이터포털 운영계정 전환 불필요. 2MB/회 가정의 4.53GB/일은 APIHub 일반회원 공식 5GB/일 이내. 실제 바이트 확인 후 공식 한도와 비교; 기관회원 신청은 현재 계산상 불필요.</x:v>
      </x:c>
      <x:c r="Q22" s="8" t="str">
        <x:v>기상청 APIHub</x:v>
      </x:c>
      <x:c r="R22" s="8" t="str">
        <x:v>이전 행정구역 횟수 API 24회/일 산정은 격자 요구에 부적합</x:v>
      </x:c>
      <x:c r="S22" s="8" t="str">
        <x:v>낙뢰관측 활용신청, 용량 실측·결측 점검</x:v>
      </x:c>
      <x:c r="T22" s="8" t="str">
        <x:v>S13,S14,S18</x:v>
      </x:c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>
      <x:c r="A25" s="2" t="str">
        <x:v>항목별 호출/일은 해당 항목만 단독 구현할 때의 수치다. 여러 항목을 함께 제공할 때는 API 호출 산정 탭의 중복 제거 합계를 사용한다.</x:v>
      </x:c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>
      <x:c r="A26" s="2" t="str">
        <x:v>한도 판정은 제공처 공식 한도와 저장소의 겨울 계획 예산을 사용하며 서버 내부 보호선은 제외한다. 운영계정 고정 한도와 실제 승인량, 응답 KB는 미확인이다.</x:v>
      </x:c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27CA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1" hidden="0" customWidth="1"/>
    <x:col min="2" max="2" width="19" hidden="0" customWidth="1"/>
    <x:col min="3" max="3" width="17" hidden="0" customWidth="1"/>
    <x:col min="4" max="4" width="25" hidden="0" customWidth="1"/>
    <x:col min="5" max="5" width="24" hidden="0" customWidth="1"/>
    <x:col min="6" max="6" width="26" hidden="0" customWidth="1"/>
    <x:col min="7" max="7" width="22" hidden="0" customWidth="1"/>
    <x:col min="8" max="8" width="17" hidden="0" customWidth="1"/>
    <x:col min="9" max="9" width="72" hidden="0" customWidth="1"/>
    <x:col min="10" max="10" width="20" hidden="0" customWidth="1"/>
    <x:col min="11" max="11" width="20" hidden="0" customWidth="1"/>
    <x:col min="12" max="12" width="34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3" t="str">
        <x:v>API 호출 산정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2" t="str">
        <x:v>중앙 서버 공용 수집 예시. 모든 격자·사용자별 중복 호출은 하지 않는다. 지점·해역 분할 수와 재시도·추가 페이지는 실측 전 가정이다.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36" customHeight="1">
      <x:c r="A5" s="7" t="str">
        <x:v>수집 묶음</x:v>
      </x:c>
      <x:c r="B5" s="7" t="str">
        <x:v>제공처</x:v>
      </x:c>
      <x:c r="C5" s="7" t="str">
        <x:v>대상 수/타일 수</x:v>
      </x:c>
      <x:c r="D5" s="7" t="str">
        <x:v>호출 주기(회/일)</x:v>
      </x:c>
      <x:c r="E5" s="7" t="str">
        <x:v>페이지·재시도 배수</x:v>
      </x:c>
      <x:c r="F5" s="7" t="str">
        <x:v>예상 호출/일</x:v>
      </x:c>
      <x:c r="G5" s="7" t="str">
        <x:v>공개 한도/일</x:v>
      </x:c>
      <x:c r="H5" s="7" t="str">
        <x:v>호출 건수 판정</x:v>
      </x:c>
      <x:c r="I5" s="7" t="str">
        <x:v>산정 근거·제약</x:v>
      </x:c>
      <x:c r="J5" s="7" t="str">
        <x:v>가정 응답 KB/회</x:v>
      </x:c>
      <x:c r="K5" s="7" t="str">
        <x:v>예상 MB/일</x:v>
      </x:c>
      <x:c r="L5" s="7" t="str">
        <x:v>공개 용량 한도</x:v>
      </x:c>
      <x:c r="M5" s="2"/>
      <x:c r="N5" s="2"/>
      <x:c r="O5" s="2"/>
      <x:c r="P5" s="2"/>
      <x:c r="Q5" s="2"/>
      <x:c r="R5" s="2"/>
      <x:c r="S5" s="2"/>
      <x:c r="T5" s="2"/>
    </x:row>
    <x:row r="6" ht="52" customHeight="1">
      <x:c r="A6" s="8" t="str">
        <x:v>조위관측</x:v>
      </x:c>
      <x:c r="B6" s="8" t="str">
        <x:v>국립해양조사원</x:v>
      </x:c>
      <x:c r="C6" s="18" t="n">
        <x:v>50</x:v>
      </x:c>
      <x:c r="D6" s="18" t="n">
        <x:v>24</x:v>
      </x:c>
      <x:c r="E6" s="18" t="n">
        <x:v>1</x:v>
      </x:c>
      <x:c r="F6" s="19" t="n">
        <x:f>C6*D6*E6</x:f>
        <x:v>1200</x:v>
      </x:c>
      <x:c r="G6" s="19" t="n">
        <x:v>10000</x:v>
      </x:c>
      <x:c r="H6" s="20" t="str">
        <x:f>IF(F6&gt;G6,"초과","건수상 여유")</x:f>
        <x:v>건수상 여유</x:v>
      </x:c>
      <x:c r="I6" s="8" t="str">
        <x:v>관측소×시간별 갱신. 조위·수온 등 한 응답 공유. 지점 수는 가정.</x:v>
      </x:c>
      <x:c r="J6" s="15" t="n">
        <x:v>10</x:v>
      </x:c>
      <x:c r="K6" s="16" t="n">
        <x:f>F6*J6/1000</x:f>
        <x:v>12</x:v>
      </x:c>
      <x:c r="L6" s="8" t="str">
        <x:v>공개 명세에서 확인 못함</x:v>
      </x:c>
      <x:c r="M6" s="2"/>
      <x:c r="N6" s="2"/>
      <x:c r="O6" s="2"/>
      <x:c r="P6" s="2"/>
      <x:c r="Q6" s="2"/>
      <x:c r="R6" s="2"/>
      <x:c r="S6" s="2"/>
      <x:c r="T6" s="2"/>
    </x:row>
    <x:row r="7" ht="52" customHeight="1">
      <x:c r="A7" s="8" t="str">
        <x:v>해양부이관측</x:v>
      </x:c>
      <x:c r="B7" s="8" t="str">
        <x:v>국립해양조사원</x:v>
      </x:c>
      <x:c r="C7" s="18" t="n">
        <x:v>40</x:v>
      </x:c>
      <x:c r="D7" s="18" t="n">
        <x:v>24</x:v>
      </x:c>
      <x:c r="E7" s="18" t="n">
        <x:v>1</x:v>
      </x:c>
      <x:c r="F7" s="19" t="n">
        <x:f>C7*D7*E7</x:f>
        <x:v>960</x:v>
      </x:c>
      <x:c r="G7" s="19" t="n">
        <x:v>10000</x:v>
      </x:c>
      <x:c r="H7" s="20" t="str">
        <x:f>IF(F7&gt;G7,"초과","건수상 여유")</x:f>
        <x:v>건수상 여유</x:v>
      </x:c>
      <x:c r="I7" s="8" t="str">
        <x:v>부이×시간별 갱신. 수온·유향·유속 한 응답 공유. 지점 수는 가정.</x:v>
      </x:c>
      <x:c r="J7" s="15" t="n">
        <x:v>10</x:v>
      </x:c>
      <x:c r="K7" s="16" t="n">
        <x:f>F7*J7/1000</x:f>
        <x:v>9.6</x:v>
      </x:c>
      <x:c r="L7" s="8" t="str">
        <x:v>공개 명세에서 확인 못함</x:v>
      </x:c>
      <x:c r="M7" s="2"/>
      <x:c r="N7" s="2"/>
      <x:c r="O7" s="2"/>
      <x:c r="P7" s="2"/>
      <x:c r="Q7" s="2"/>
      <x:c r="R7" s="2"/>
      <x:c r="S7" s="2"/>
      <x:c r="T7" s="2"/>
    </x:row>
    <x:row r="8" ht="52" customHeight="1">
      <x:c r="A8" s="8" t="str">
        <x:v>고저조예보</x:v>
      </x:c>
      <x:c r="B8" s="8" t="str">
        <x:v>국립해양조사원</x:v>
      </x:c>
      <x:c r="C8" s="18" t="n">
        <x:v>50</x:v>
      </x:c>
      <x:c r="D8" s="18" t="n">
        <x:v>1</x:v>
      </x:c>
      <x:c r="E8" s="18" t="n">
        <x:v>1</x:v>
      </x:c>
      <x:c r="F8" s="19" t="n">
        <x:f>C8*D8*E8</x:f>
        <x:v>50</x:v>
      </x:c>
      <x:c r="G8" s="19" t="n">
        <x:v>10000</x:v>
      </x:c>
      <x:c r="H8" s="20" t="str">
        <x:f>IF(F8&gt;G8,"초과","건수상 여유")</x:f>
        <x:v>건수상 여유</x:v>
      </x:c>
      <x:c r="I8" s="8" t="str">
        <x:v>예보지점×요청일. 만조·간조 시각 이벤트. 지점 수는 가정.</x:v>
      </x:c>
      <x:c r="J8" s="15" t="n">
        <x:v>10</x:v>
      </x:c>
      <x:c r="K8" s="16" t="n">
        <x:f>F8*J8/1000</x:f>
        <x:v>0.5</x:v>
      </x:c>
      <x:c r="L8" s="8" t="str">
        <x:v>공개 명세에서 확인 못함</x:v>
      </x:c>
      <x:c r="M8" s="2"/>
      <x:c r="N8" s="2"/>
      <x:c r="O8" s="2"/>
      <x:c r="P8" s="2"/>
      <x:c r="Q8" s="2"/>
      <x:c r="R8" s="2"/>
      <x:c r="S8" s="2"/>
      <x:c r="T8" s="2"/>
    </x:row>
    <x:row r="9" ht="52" customHeight="1">
      <x:c r="A9" s="8" t="str">
        <x:v>조석시계열</x:v>
      </x:c>
      <x:c r="B9" s="8" t="str">
        <x:v>국립해양조사원</x:v>
      </x:c>
      <x:c r="C9" s="18" t="n">
        <x:v>50</x:v>
      </x:c>
      <x:c r="D9" s="18" t="n">
        <x:v>1</x:v>
      </x:c>
      <x:c r="E9" s="18" t="n">
        <x:v>1</x:v>
      </x:c>
      <x:c r="F9" s="19" t="n">
        <x:f>C9*D9*E9</x:f>
        <x:v>50</x:v>
      </x:c>
      <x:c r="G9" s="19" t="n">
        <x:v>10000</x:v>
      </x:c>
      <x:c r="H9" s="20" t="str">
        <x:f>IF(F9&gt;G9,"초과","건수상 여유")</x:f>
        <x:v>건수상 여유</x:v>
      </x:c>
      <x:c r="I9" s="8" t="str">
        <x:v>예보지점×요청일. 시간 간격을 요청. 지점 수는 가정.</x:v>
      </x:c>
      <x:c r="J9" s="15" t="n">
        <x:v>10</x:v>
      </x:c>
      <x:c r="K9" s="16" t="n">
        <x:f>F9*J9/1000</x:f>
        <x:v>0.5</x:v>
      </x:c>
      <x:c r="L9" s="8" t="str">
        <x:v>공개 명세에서 확인 못함</x:v>
      </x:c>
      <x:c r="M9" s="2"/>
      <x:c r="N9" s="2"/>
      <x:c r="O9" s="2"/>
      <x:c r="P9" s="2"/>
      <x:c r="Q9" s="2"/>
      <x:c r="R9" s="2"/>
      <x:c r="S9" s="2"/>
      <x:c r="T9" s="2"/>
    </x:row>
    <x:row r="10" ht="52" customHeight="1">
      <x:c r="A10" s="8" t="str">
        <x:v>ROMS예측</x:v>
      </x:c>
      <x:c r="B10" s="8" t="str">
        <x:v>국립해양조사원</x:v>
      </x:c>
      <x:c r="C10" s="18" t="n">
        <x:v>10</x:v>
      </x:c>
      <x:c r="D10" s="18" t="n">
        <x:v>24</x:v>
      </x:c>
      <x:c r="E10" s="18" t="n">
        <x:v>1</x:v>
      </x:c>
      <x:c r="F10" s="19" t="n">
        <x:f>C10*D10*E10</x:f>
        <x:v>240</x:v>
      </x:c>
      <x:c r="G10" s="19" t="n">
        <x:v>10000</x:v>
      </x:c>
      <x:c r="H10" s="20" t="str">
        <x:f>IF(F10&gt;G10,"초과","건수상 여유")</x:f>
        <x:v>건수상 여유</x:v>
      </x:c>
      <x:c r="I10" s="8" t="str">
        <x:v>해역 타일×미래 24개 시각 가정. 실제 허용 bbox·페이지·모델 발표주기 미검증.</x:v>
      </x:c>
      <x:c r="J10" s="15" t="n">
        <x:v>1000</x:v>
      </x:c>
      <x:c r="K10" s="16" t="n">
        <x:f>F10*J10/1000</x:f>
        <x:v>240</x:v>
      </x:c>
      <x:c r="L10" s="8" t="str">
        <x:v>공개 명세에서 확인 못함</x:v>
      </x:c>
      <x:c r="M10" s="2"/>
      <x:c r="N10" s="2"/>
      <x:c r="O10" s="2"/>
      <x:c r="P10" s="2"/>
      <x:c r="Q10" s="2"/>
      <x:c r="R10" s="2"/>
      <x:c r="S10" s="2"/>
      <x:c r="T10" s="2"/>
    </x:row>
    <x:row r="11" ht="52" customHeight="1">
      <x:c r="A11" s="8" t="str">
        <x:v>이안류관측</x:v>
      </x:c>
      <x:c r="B11" s="8" t="str">
        <x:v>국립해양조사원</x:v>
      </x:c>
      <x:c r="C11" s="18" t="n">
        <x:v>10</x:v>
      </x:c>
      <x:c r="D11" s="18" t="n">
        <x:v>24</x:v>
      </x:c>
      <x:c r="E11" s="18" t="n">
        <x:v>1</x:v>
      </x:c>
      <x:c r="F11" s="19" t="n">
        <x:f>C11*D11*E11</x:f>
        <x:v>240</x:v>
      </x:c>
      <x:c r="G11" s="19" t="n">
        <x:v>10000</x:v>
      </x:c>
      <x:c r="H11" s="20" t="str">
        <x:f>IF(F11&gt;G11,"초과","건수상 여유")</x:f>
        <x:v>건수상 여유</x:v>
      </x:c>
      <x:c r="I11" s="8" t="str">
        <x:v>해수욕장×시간별 갱신. 운영 해수욕장 10곳 기준, 계절 운영.</x:v>
      </x:c>
      <x:c r="J11" s="15" t="n">
        <x:v>10</x:v>
      </x:c>
      <x:c r="K11" s="16" t="n">
        <x:f>F11*J11/1000</x:f>
        <x:v>2.4</x:v>
      </x:c>
      <x:c r="L11" s="8" t="str">
        <x:v>공개 명세에서 확인 못함</x:v>
      </x:c>
      <x:c r="M11" s="2"/>
      <x:c r="N11" s="2"/>
      <x:c r="O11" s="2"/>
      <x:c r="P11" s="2"/>
      <x:c r="Q11" s="2"/>
      <x:c r="R11" s="2"/>
      <x:c r="S11" s="2"/>
      <x:c r="T11" s="2"/>
    </x:row>
    <x:row r="12" ht="52" customHeight="1">
      <x:c r="A12" s="8" t="str">
        <x:v>하천관측</x:v>
      </x:c>
      <x:c r="B12" s="8" t="str">
        <x:v>한국수자원공사</x:v>
      </x:c>
      <x:c r="C12" s="18" t="n">
        <x:v>100</x:v>
      </x:c>
      <x:c r="D12" s="18" t="n">
        <x:v>24</x:v>
      </x:c>
      <x:c r="E12" s="18" t="n">
        <x:v>1</x:v>
      </x:c>
      <x:c r="F12" s="19" t="n">
        <x:f>C12*D12*E12</x:f>
        <x:v>2400</x:v>
      </x:c>
      <x:c r="G12" s="19" t="n">
        <x:v>10000</x:v>
      </x:c>
      <x:c r="H12" s="20" t="str">
        <x:f>IF(F12&gt;G12,"초과","건수상 여유")</x:f>
        <x:v>건수상 여유</x:v>
      </x:c>
      <x:c r="I12" s="8" t="str">
        <x:v>수위관측소×시간별 갱신. 수위·유량 한 응답 공유. 지점 수는 가정.</x:v>
      </x:c>
      <x:c r="J12" s="15" t="n">
        <x:v>10</x:v>
      </x:c>
      <x:c r="K12" s="16" t="n">
        <x:f>F12*J12/1000</x:f>
        <x:v>24</x:v>
      </x:c>
      <x:c r="L12" s="8" t="str">
        <x:v>공개 명세에서 확인 못함</x:v>
      </x:c>
      <x:c r="M12" s="2"/>
      <x:c r="N12" s="2"/>
      <x:c r="O12" s="2"/>
      <x:c r="P12" s="2"/>
      <x:c r="Q12" s="2"/>
      <x:c r="R12" s="2"/>
      <x:c r="S12" s="2"/>
      <x:c r="T12" s="2"/>
    </x:row>
    <x:row r="13" ht="52" customHeight="1">
      <x:c r="A13" s="8" t="str">
        <x:v>댐운영</x:v>
      </x:c>
      <x:c r="B13" s="8" t="str">
        <x:v>한국수자원공사</x:v>
      </x:c>
      <x:c r="C13" s="18" t="n">
        <x:v>61</x:v>
      </x:c>
      <x:c r="D13" s="18" t="n">
        <x:v>24</x:v>
      </x:c>
      <x:c r="E13" s="18" t="n">
        <x:v>1</x:v>
      </x:c>
      <x:c r="F13" s="19" t="n">
        <x:f>C13*D13*E13</x:f>
        <x:v>1464</x:v>
      </x:c>
      <x:c r="G13" s="19" t="n">
        <x:v>10000</x:v>
      </x:c>
      <x:c r="H13" s="20" t="str">
        <x:f>IF(F13&gt;G13,"초과","건수상 여유")</x:f>
        <x:v>건수상 여유</x:v>
      </x:c>
      <x:c r="I13" s="8" t="str">
        <x:v>댐·보 61지점×시간별 갱신. 수위·유입·방류 한 응답 공유.</x:v>
      </x:c>
      <x:c r="J13" s="15" t="n">
        <x:v>10</x:v>
      </x:c>
      <x:c r="K13" s="16" t="n">
        <x:f>F13*J13/1000</x:f>
        <x:v>14.64</x:v>
      </x:c>
      <x:c r="L13" s="8" t="str">
        <x:v>공개 명세에서 확인 못함</x:v>
      </x:c>
      <x:c r="M13" s="2"/>
      <x:c r="N13" s="2"/>
      <x:c r="O13" s="2"/>
      <x:c r="P13" s="2"/>
      <x:c r="Q13" s="2"/>
      <x:c r="R13" s="2"/>
      <x:c r="S13" s="2"/>
      <x:c r="T13" s="2"/>
    </x:row>
    <x:row r="14" ht="52" customHeight="1">
      <x:c r="A14" s="8" t="str">
        <x:v>낙뢰좌표</x:v>
      </x:c>
      <x:c r="B14" s="8" t="str">
        <x:v>기상청 APIHub</x:v>
      </x:c>
      <x:c r="C14" s="18" t="n">
        <x:v>1</x:v>
      </x:c>
      <x:c r="D14" s="18" t="n">
        <x:v>144</x:v>
      </x:c>
      <x:c r="E14" s="18" t="n">
        <x:v>1</x:v>
      </x:c>
      <x:c r="F14" s="19" t="n">
        <x:f>C14*D14*E14</x:f>
        <x:v>144</x:v>
      </x:c>
      <x:c r="G14" s="19" t="n">
        <x:v>20000</x:v>
      </x:c>
      <x:c r="H14" s="20" t="str">
        <x:f>IF(F14&gt;G14,"초과","건수상 여유")</x:f>
        <x:v>건수상 여유</x:v>
      </x:c>
      <x:c r="I14" s="8" t="str">
        <x:v>전국 좌표 원시자료 10분마다 1회. 시간 중복 제거 후 nx/ny에 배정. 응답 바이트 미측정.</x:v>
      </x:c>
      <x:c r="J14" s="15" t="n">
        <x:v>100</x:v>
      </x:c>
      <x:c r="K14" s="16" t="n">
        <x:f>F14*J14/1000</x:f>
        <x:v>14.4</x:v>
      </x:c>
      <x:c r="L14" s="8" t="str">
        <x:v>일반회원 공식 5GB/일</x:v>
      </x:c>
      <x:c r="M14" s="2"/>
      <x:c r="N14" s="2"/>
      <x:c r="O14" s="2"/>
      <x:c r="P14" s="2"/>
      <x:c r="Q14" s="2"/>
      <x:c r="R14" s="2"/>
      <x:c r="S14" s="2"/>
      <x:c r="T14" s="2"/>
    </x:row>
    <x:row r="15" ht="52" customHeight="1">
      <x:c r="A15" s="8" t="str">
        <x:v>해파리목록</x:v>
      </x:c>
      <x:c r="B15" s="8" t="str">
        <x:v>국립수산과학원</x:v>
      </x:c>
      <x:c r="C15" s="18" t="n">
        <x:v>1</x:v>
      </x:c>
      <x:c r="D15" s="18" t="n">
        <x:v>4</x:v>
      </x:c>
      <x:c r="E15" s="18" t="n">
        <x:v>1</x:v>
      </x:c>
      <x:c r="F15" s="19" t="n">
        <x:f>C15*D15*E15</x:f>
        <x:v>4</x:v>
      </x:c>
      <x:c r="G15" s="19"/>
      <x:c r="H15" s="20" t="str">
        <x:f>"계정 한도 미확인"</x:f>
        <x:v>계정 한도 미확인</x:v>
      </x:c>
      <x:c r="I15" s="8" t="str">
        <x:v>하루 4회 목록 확인 가정. 새 속보/주간보고 상세는 건별 추가. 시간별 격자 지수 아님.</x:v>
      </x:c>
      <x:c r="J15" s="15" t="n">
        <x:v>10</x:v>
      </x:c>
      <x:c r="K15" s="16" t="n">
        <x:f>F15*J15/1000</x:f>
        <x:v>0.04</x:v>
      </x:c>
      <x:c r="L15" s="8" t="str">
        <x:v>공개 명세에서 확인 못함</x:v>
      </x:c>
      <x:c r="M15" s="2"/>
      <x:c r="N15" s="2"/>
      <x:c r="O15" s="2"/>
      <x:c r="P15" s="2"/>
      <x:c r="Q15" s="2"/>
      <x:c r="R15" s="2"/>
      <x:c r="S15" s="2"/>
      <x:c r="T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>
      <x:c r="A18" s="2" t="str">
        <x:v>제공처별</x:v>
      </x:c>
      <x:c r="B18" s="2" t="str">
        <x:v>예상 중복 제거 호출/일</x:v>
      </x:c>
      <x:c r="C18" s="2" t="str">
        <x:v>가정 응답 용량 MB/일</x:v>
      </x:c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>
      <x:c r="A19" s="2" t="str">
        <x:v>국립해양조사원</x:v>
      </x:c>
      <x:c r="B19" s="2" t="n">
        <x:f>SUMIFS(F6:F15,B6:B15,A19)</x:f>
        <x:v>2740</x:v>
      </x:c>
      <x:c r="C19" s="2" t="n">
        <x:f>SUMIFS(K6:K15,B6:B15,A19)</x:f>
        <x:v>265</x:v>
      </x:c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>
      <x:c r="A20" s="2" t="str">
        <x:v>한국수자원공사</x:v>
      </x:c>
      <x:c r="B20" s="2" t="n">
        <x:f>SUMIFS(F6:F15,B6:B15,A20)</x:f>
        <x:v>3864</x:v>
      </x:c>
      <x:c r="C20" s="2" t="n">
        <x:f>SUMIFS(K6:K15,B6:B15,A20)</x:f>
        <x:v>38.64</x:v>
      </x:c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>
      <x:c r="A21" s="2" t="str">
        <x:v>기상청 APIHub</x:v>
      </x:c>
      <x:c r="B21" s="2" t="n">
        <x:f>SUMIFS(F6:F15,B6:B15,A21)</x:f>
        <x:v>144</x:v>
      </x:c>
      <x:c r="C21" s="2" t="n">
        <x:f>SUMIFS(K6:K15,B6:B15,A21)</x:f>
        <x:v>14.4</x:v>
      </x:c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>
      <x:c r="A23" s="2" t="str">
        <x:v>별도 참고</x:v>
      </x:c>
      <x:c r="B23" s="2" t="str">
        <x:v>국립수산과학원 해파리 목록은 시간별 격자 항목이 아니므로 위 세 기관 합계에서 제외</x:v>
      </x:c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>
      <x:c r="A24" s="2" t="str">
        <x:v>한도 해석</x:v>
      </x:c>
      <x:c r="B24" s="2" t="str">
        <x:v>포털 1만 회는 각 API 개발계정 안내값이다. 실제 계정 승인량·동일 키 서비스 간 합산 정책을 확인해야 한다.</x:v>
      </x:c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>
      <x:c r="A27" s="2" t="str">
        <x:v>APIHub 공식 5GB 용량 판정</x:v>
      </x:c>
      <x:c r="B27" s="2" t="str">
        <x:v>단위 MB(10진). 기존 필수 3,842MB + 재시도 최대 예약 400MB = 4,242MB. 서버 내부 보호선은 판정 기준에서 제외한다.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38" customHeight="1">
      <x:c r="A29" s="2" t="str">
        <x:v>공식 1일 용량 MB</x:v>
      </x:c>
      <x:c r="B29" s="2" t="n">
        <x:v>5000</x:v>
      </x:c>
      <x:c r="C29" s="2"/>
      <x:c r="D29" s="8" t="str">
        <x:v>낙뢰 응답 가정 MB/회</x:v>
      </x:c>
      <x:c r="E29" s="8" t="str">
        <x:v>하루 낙뢰 용량 MB</x:v>
      </x:c>
      <x:c r="F29" s="8" t="str">
        <x:v>기존 겨울 예산 합산 MB</x:v>
      </x:c>
      <x:c r="G29" s="8" t="str">
        <x:v>공식 5GB 판정</x:v>
      </x:c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38" customHeight="1">
      <x:c r="A30" s="2" t="str">
        <x:v>공식 1일 호출 한도</x:v>
      </x:c>
      <x:c r="B30" s="2" t="n">
        <x:v>20000</x:v>
      </x:c>
      <x:c r="C30" s="2"/>
      <x:c r="D30" s="8" t="n">
        <x:v>0.1</x:v>
      </x:c>
      <x:c r="E30" s="8" t="n">
        <x:f>D30*$B$32</x:f>
        <x:v>14.4</x:v>
      </x:c>
      <x:c r="F30" s="8" t="n">
        <x:f>$B$31+E30</x:f>
        <x:v>4256.4</x:v>
      </x:c>
      <x:c r="G30" s="8" t="str">
        <x:f>IF(F30&lt;=$B$29,"가능","불가능")</x:f>
        <x:v>가능</x:v>
      </x:c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38" customHeight="1">
      <x:c r="A31" s="2" t="str">
        <x:v>기존 겨울 예산 MB</x:v>
      </x:c>
      <x:c r="B31" s="2" t="n">
        <x:v>4242</x:v>
      </x:c>
      <x:c r="C31" s="2"/>
      <x:c r="D31" s="8" t="n">
        <x:v>1</x:v>
      </x:c>
      <x:c r="E31" s="8" t="n">
        <x:f>D31*$B$32</x:f>
        <x:v>144</x:v>
      </x:c>
      <x:c r="F31" s="8" t="n">
        <x:f>$B$31+E31</x:f>
        <x:v>4386</x:v>
      </x:c>
      <x:c r="G31" s="8" t="str">
        <x:f>IF(F31&lt;=$B$29,"가능","불가능")</x:f>
        <x:v>가능</x:v>
      </x:c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38" customHeight="1">
      <x:c r="A32" s="2" t="str">
        <x:v>낙뢰 조회/일</x:v>
      </x:c>
      <x:c r="B32" s="2" t="n">
        <x:f>F14</x:f>
        <x:v>144</x:v>
      </x:c>
      <x:c r="C32" s="2"/>
      <x:c r="D32" s="8" t="n">
        <x:v>2</x:v>
      </x:c>
      <x:c r="E32" s="8" t="n">
        <x:f>D32*$B$32</x:f>
        <x:v>288</x:v>
      </x:c>
      <x:c r="F32" s="8" t="n">
        <x:f>$B$31+E32</x:f>
        <x:v>4530</x:v>
      </x:c>
      <x:c r="G32" s="8" t="str">
        <x:f>IF(F32&lt;=$B$29,"가능","불가능")</x:f>
        <x:v>가능</x:v>
      </x:c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38" customHeight="1">
      <x:c r="A33" s="2" t="str">
        <x:v>공식 한도 허용 평균 MB/회</x:v>
      </x:c>
      <x:c r="B33" s="17" t="n">
        <x:f>(B29-B31)/B32</x:f>
        <x:v>5.263888888888889</x:v>
      </x:c>
      <x:c r="C33" s="2"/>
      <x:c r="D33" s="8" t="str">
        <x:v>판정 기준</x:v>
      </x:c>
      <x:c r="E33" s="8" t="str">
        <x:v>상한 약 5.264MB/회</x:v>
      </x:c>
      <x:c r="F33" s="8" t="str">
        <x:v>실제 바이트·당일 사용량 미확인</x:v>
      </x:c>
      <x:c r="G33" s="8" t="str">
        <x:v>기존 계획값 기준</x:v>
      </x:c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>
      <x:c r="A34" s="2" t="str">
        <x:v>낙뢰 가정 응답 MB/일</x:v>
      </x:c>
      <x:c r="B34" s="17" t="n">
        <x:f>K14</x:f>
        <x:v>14.4</x:v>
      </x:c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>
      <x:c r="A35" s="2" t="str">
        <x:v>가정 응답 반영 후 공식 잔여 MB</x:v>
      </x:c>
      <x:c r="B35" s="17" t="n">
        <x:f>B29-B31-B34</x:f>
        <x:v>743.6</x:v>
      </x:c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>
      <x:c r="A39" s="2" t="str">
        <x:v>하천 10분 운영안</x:v>
      </x:c>
      <x:c r="B39" s="2" t="str">
        <x:v>일일 호출</x:v>
      </x:c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>
      <x:c r="A40" s="2" t="str">
        <x:v>개발계정 안내 한도</x:v>
      </x:c>
      <x:c r="B40" s="2" t="n">
        <x:f>G12</x:f>
        <x:v>10000</x:v>
      </x:c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>
      <x:c r="A41" s="2" t="str">
        <x:v>10분 수집 필요 호출</x:v>
      </x:c>
      <x:c r="B41" s="2" t="n">
        <x:f>C12*144</x:f>
        <x:v>14400</x:v>
      </x:c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>
      <x:c r="A42" s="2" t="str">
        <x:v>개발계정 부족분</x:v>
      </x:c>
      <x:c r="B42" s="2" t="n">
        <x:f>B41-B40</x:f>
        <x:v>4400</x:v>
      </x:c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>
      <x:c r="A43" s="2" t="str">
        <x:v>운영계정 신청 최소</x:v>
      </x:c>
      <x:c r="B43" s="2" t="n">
        <x:f>B41</x:f>
        <x:v>14400</x:v>
      </x:c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>
      <x:c r="A44" s="2" t="str">
        <x:v>운영계정 한도 상향 가능. 고정 횟수 미공개; 승인값 확인 필요.</x:v>
      </x:c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  <x:row r="46">
      <x:c r="A46" s="2" t="str">
        <x:v>운영계정 공개 고정 한도</x:v>
      </x:c>
      <x:c r="B46" s="2" t="str">
        <x:v>숫자 미공개; 활용사례 등록 후 증량 신청</x:v>
      </x:c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</x:row>
    <x:row r="47">
      <x:c r="A47" s="2" t="str">
        <x:v>실제 승인 일한도(사용자 입력)</x:v>
      </x:c>
      <x:c r="B47" s="1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</x:row>
    <x:row r="48">
      <x:c r="A48" s="2" t="str">
        <x:v>승인량 기준 10분안 결과</x:v>
      </x:c>
      <x:c r="B48" s="2" t="str">
        <x:f>IF(B47="","승인량 미확인",IF(B47&gt;=B41,"가능","부족"))</x:f>
        <x:v>승인량 미확인</x:v>
      </x:c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6" topLeftCell="A17" activePane="bottomLeft" state="frozen"/>
    </x:sheetView>
  </x:sheetViews>
  <x:sheetFormatPr defaultRowHeight="15"/>
  <x:cols>
    <x:col min="1" max="1" width="18" hidden="0" customWidth="1"/>
    <x:col min="2" max="2" width="43" hidden="0" customWidth="1"/>
    <x:col min="3" max="3" width="68" hidden="0" customWidth="1"/>
    <x:col min="4" max="4" width="90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</x:row>
    <x:row r="2">
      <x:c r="A2" s="3" t="str">
        <x:v>근거와 계산 가정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>
      <x:c r="A4" s="2" t="str">
        <x:v>항목</x:v>
      </x:c>
      <x:c r="B4" s="2" t="str">
        <x:v>내용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</x:row>
    <x:row r="5" ht="55" customHeight="1">
      <x:c r="A5" s="8" t="str">
        <x:v>격자 기준</x:v>
      </x:c>
      <x:c r="B5" s="8" t="str">
        <x:v>기상청 단기예보 원본판 149×253=37,697셀. 바다·산·하천 API의 공간 격자는 해상도와 좌표계가 다를 수 있다.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</x:row>
    <x:row r="6" ht="55" customHeight="1">
      <x:c r="A6" s="8" t="str">
        <x:v>표시 원칙</x:v>
      </x:c>
      <x:c r="B6" s="8" t="str">
        <x:v>좌표 또는 시설 위치가 속한 nx/ny에 연결하되, 같은 격자 전체가 동일한 실측값이라는 뜻으로 표시하지 않는다. 해역/하천 경계와 거리 제한을 추가해야 한다.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</x:row>
    <x:row r="7" ht="55" customHeight="1">
      <x:c r="A7" s="8" t="str">
        <x:v>관측 호출</x:v>
      </x:c>
      <x:c r="B7" s="8" t="str">
        <x:v>현재값을 1시간마다 갱신하는 예시: 지점 수×24회/일. API가 과거 하루 시계열을 한 번에 제공해도 최신값 갱신은 반복 호출한다.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</x:row>
    <x:row r="8" ht="55" customHeight="1">
      <x:c r="A8" s="8" t="str">
        <x:v>예보 호출</x:v>
      </x:c>
      <x:c r="B8" s="8" t="str">
        <x:v>고저조·조석 시계열은 지점×하루 1회 가정. ROMS는 bbox 타일 10개×미래 24개 시각 조회 가정. 실제 요청당 시간범위·페이지 제한은 명세/응답 검증 필요.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</x:row>
    <x:row r="9" ht="55" customHeight="1">
      <x:c r="A9" s="8" t="str">
        <x:v>예시 대상</x:v>
      </x:c>
      <x:c r="B9" s="8" t="str">
        <x:v>조위관측소 50, 해양부이 40, 조석예보 50, ROMS 타일 10, 하천 100은 설계 가정. 댐·보 61과 이안류 해수욕장 10은 공식 공개 범위 기준.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</x:row>
    <x:row r="10" ht="55" customHeight="1">
      <x:c r="A10" s="8" t="str">
        <x:v>한도</x:v>
      </x:c>
      <x:c r="B10" s="8" t="str">
        <x:v>공공데이터포털 해당 API 개발계정은 10,000회/일. 운영계정은 활용사례 등록 후 트래픽 증가 신청 가능하나 고정 적용 수치가 공개되지 않았다. APIHub 일반회원 공식 한도는 20,000회·5GB/일이며 내부 보호선은 이번 판정에서 제외한다.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</x:row>
    <x:row r="11" ht="55" customHeight="1">
      <x:c r="A11" s="8" t="str">
        <x:v>낙뢰</x:v>
      </x:c>
      <x:c r="B11" s="8" t="str">
        <x:v>lgt_pnt 전국 조회에는 lon/lat을 생략할 수 있다. 10분마다 이전 10분 창을 조회하는 산정은 API 요청 범위·응답 상한 검증 전 계획값이다. 5분 신속 갱신은 288회/일.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</x:row>
    <x:row r="12" ht="55" customHeight="1">
      <x:c r="A12" s="8" t="str">
        <x:v>공유 호출</x:v>
      </x:c>
      <x:c r="B12" s="8" t="str">
        <x:v>부이 수온/유속/유향, 하천 수위/유량, 댐 수위/유입/방류는 각 묶음의 응답을 공동 사용한다. 항목별 숫자를 더하면 중복 계상된다.</x:v>
      </x:c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</x:row>
    <x:row r="13" ht="55" customHeight="1">
      <x:c r="A13" s="8" t="str">
        <x:v>제외 범위</x:v>
      </x:c>
      <x:c r="B13" s="8" t="str">
        <x:v>사용자가 제외한 고도별 풍향·풍속, 구름 높이, 운량 수치의 추가 호출은 0으로 표기했다. 후보 API 제공 가능성과 구현 결정은 별개다.</x:v>
      </x:c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</x:row>
    <x:row r="14" ht="55" customHeight="1">
      <x:c r="A14" s="8" t="str">
        <x:v>APIHub 공식 용량 여유</x:v>
      </x:c>
      <x:c r="B14" s="8" t="str">
        <x:v>기존 저장소 겨울 계획치 3,842MB+재시도 예약 400MB=4,242MB. 공식 5,000MB까지 758MB 남음. 낙뢰 144회면 허용 평균 758/144=5.264MB/회. 2MB/회 가정 시 합산 4,530MB로 공식 한도 내. 실제 바이트·당일 사용량은 미측정.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</x:row>
    <x:row r="15" ht="55" customHeight="1">
      <x:c r="A15" s="8" t="str">
        <x:v>응답 용량 시나리오</x:v>
      </x:c>
      <x:c r="B15" s="8" t="str">
        <x:v>API 호출 산정 J열은 실측값이 아닌 편집 가능한 가정: 지점·목록 10KB/회, ROMS 1,000KB/회, 낙뢰 100KB/회. 포털 API는 명세에 바이트 한도가 없어 예상 네트워크량만 계산.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</x:row>
    <x:row r="16" ht="36" customHeight="1">
      <x:c r="A16" s="7" t="str">
        <x:v>코드</x:v>
      </x:c>
      <x:c r="B16" s="7" t="str">
        <x:v>공식 출처</x:v>
      </x:c>
      <x:c r="C16" s="7" t="str">
        <x:v>확인 내용</x:v>
      </x:c>
      <x:c r="D16" s="7" t="str">
        <x:v>URL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 ht="42" customHeight="1">
      <x:c r="A17" s="8" t="str">
        <x:v>S1</x:v>
      </x:c>
      <x:c r="B17" s="8" t="str">
        <x:v>국립해양조사원 조위관측소 최신 관측데이터</x:v>
      </x:c>
      <x:c r="C17" s="8" t="str">
        <x:v>지점·날짜·간격 조회, 조위·수온·유속·유향 등. 개발계정 1만 회.</x:v>
      </x:c>
      <x:c r="D17" s="8" t="str">
        <x:v>https://www.data.go.kr/data/15155508/openapi.do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 ht="42" customHeight="1">
      <x:c r="A18" s="8" t="str">
        <x:v>S2</x:v>
      </x:c>
      <x:c r="B18" s="8" t="str">
        <x:v>국립해양조사원 해양관측부이 최신 관측데이터</x:v>
      </x:c>
      <x:c r="C18" s="8" t="str">
        <x:v>지점·날짜·간격 조회, 수온·유향·유속 등.</x:v>
      </x:c>
      <x:c r="D18" s="8" t="str">
        <x:v>https://www.data.go.kr/data/15155516/openapi.do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 ht="42" customHeight="1">
      <x:c r="A19" s="8" t="str">
        <x:v>S3</x:v>
      </x:c>
      <x:c r="B19" s="8" t="str">
        <x:v>국립해양조사원 조석예보(고, 저조)</x:v>
      </x:c>
      <x:c r="C19" s="8" t="str">
        <x:v>예보지점·요청일별 고저조 시각과 조위. 개발계정 1만 회.</x:v>
      </x:c>
      <x:c r="D19" s="8" t="str">
        <x:v>https://www.data.go.kr/data/15156018/openapi.do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42" customHeight="1">
      <x:c r="A20" s="8" t="str">
        <x:v>S4</x:v>
      </x:c>
      <x:c r="B20" s="8" t="str">
        <x:v>국립해양조사원 조석예보(시계열)</x:v>
      </x:c>
      <x:c r="C20" s="8" t="str">
        <x:v>예보지점·요청일·시간간격별 예측 조위. 개발계정 1만 회.</x:v>
      </x:c>
      <x:c r="D20" s="8" t="str">
        <x:v>https://www.data.go.kr/data/15156022/openapi.do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42" customHeight="1">
      <x:c r="A21" s="8" t="str">
        <x:v>S5</x:v>
      </x:c>
      <x:c r="B21" s="8" t="str">
        <x:v>국립해양조사원 ROMS 수치예측모델</x:v>
      </x:c>
      <x:c r="C21" s="8" t="str">
        <x:v>검색 bbox, 예측일시·위경도·표층 수온·유향·유속. 개발계정 1만 회.</x:v>
      </x:c>
      <x:c r="D21" s="8" t="str">
        <x:v>https://www.data.go.kr/data/15142227/openapi.do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42" customHeight="1">
      <x:c r="A22" s="8" t="str">
        <x:v>S6</x:v>
      </x:c>
      <x:c r="B22" s="8" t="str">
        <x:v>국립해양조사원 이안류 지수 조회</x:v>
      </x:c>
      <x:c r="C22" s="8" t="str">
        <x:v>해수욕장 코드·일자별 관측시각·4단계 지수. 개발계정 1만 회.</x:v>
      </x:c>
      <x:c r="D22" s="8" t="str">
        <x:v>https://www.data.go.kr/data/15156028/openapi.do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42" customHeight="1">
      <x:c r="A23" s="8" t="str">
        <x:v>S7</x:v>
      </x:c>
      <x:c r="B23" s="8" t="str">
        <x:v>국립수산과학원 OPENAPI 목록</x:v>
      </x:c>
      <x:c r="C23" s="8" t="str">
        <x:v>해파리 목록과 속보·주간보고 상세. 생성주기 수시.</x:v>
      </x:c>
      <x:c r="D23" s="8" t="str">
        <x:v>https://www.nifs.go.kr/openApi/actionOpenapiInfoList.do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42" customHeight="1">
      <x:c r="A24" s="8" t="str">
        <x:v>S8</x:v>
      </x:c>
      <x:c r="B24" s="8" t="str">
        <x:v>한국수자원공사 우량수위 관측소 운영 정보</x:v>
      </x:c>
      <x:c r="C24" s="8" t="str">
        <x:v>관측소별 수위·유량, 10분/30분/시간. 개발 1만 회; 운영 증량 신청 가능, 고정 수치 미공개.</x:v>
      </x:c>
      <x:c r="D24" s="8" t="str">
        <x:v>https://www.data.go.kr/data/15099115/openapi.do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42" customHeight="1">
      <x:c r="A25" s="8" t="str">
        <x:v>S9</x:v>
      </x:c>
      <x:c r="B25" s="8" t="str">
        <x:v>한국수자원공사 수문 운영 정보</x:v>
      </x:c>
      <x:c r="C25" s="8" t="str">
        <x:v>61개 댐·보 수위·유입량·방류량. 개발 1만 회; 운영 증량 신청 가능, 고정 수치 미공개.</x:v>
      </x:c>
      <x:c r="D25" s="8" t="str">
        <x:v>https://www.data.go.kr/data/15099110/openapi.do</x:v>
      </x:c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42" customHeight="1">
      <x:c r="A26" s="8" t="str">
        <x:v>S10</x:v>
      </x:c>
      <x:c r="B26" s="8" t="str">
        <x:v>기상청 APIHub 고층관측</x:v>
      </x:c>
      <x:c r="C26" s="8" t="str">
        <x:v>레윈존데 정기 하루 2회, 윈드프로파일러 10분 간격 지점 관측.</x:v>
      </x:c>
      <x:c r="D26" s="8" t="str">
        <x:v>https://apihub.kma.go.kr/apiList.do?seqApi=4</x:v>
      </x:c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42" customHeight="1">
      <x:c r="A27" s="8" t="str">
        <x:v>S11</x:v>
      </x:c>
      <x:c r="B27" s="8" t="str">
        <x:v>기상청 APIHub 수치모델</x:v>
      </x:c>
      <x:c r="C27" s="8" t="str">
        <x:v>KIM 예측 파일·변수 후보. 격자·용량 별도 검증 필요.</x:v>
      </x:c>
      <x:c r="D27" s="8" t="str">
        <x:v>https://apihub.kma.go.kr/apiList.do?seqApi=9</x:v>
      </x:c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42" customHeight="1">
      <x:c r="A28" s="8" t="str">
        <x:v>S12</x:v>
      </x:c>
      <x:c r="B28" s="8" t="str">
        <x:v>기상청 APIHub 지상관측</x:v>
      </x:c>
      <x:c r="C28" s="8" t="str">
        <x:v>ASOS CA_TOT 전운량·CH_MIN 최저운고는 지점 관측.</x:v>
      </x:c>
      <x:c r="D28" s="8" t="str">
        <x:v>https://apihub.kma.go.kr/apiList.do</x:v>
      </x:c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42" customHeight="1">
      <x:c r="A29" s="8" t="str">
        <x:v>S13</x:v>
      </x:c>
      <x:c r="B29" s="8" t="str">
        <x:v>기상청 APIHub 낙뢰관측</x:v>
      </x:c>
      <x:c r="C29" s="8" t="str">
        <x:v>lgt_pnt 시간범위·선택적 lon/lat/range, TM/LON/LAT 출력.</x:v>
      </x:c>
      <x:c r="D29" s="8" t="str">
        <x:v>https://apihub.kma.go.kr/apiList.do?apiMov=%EB%82%99%EB%A2%B0+%EC%9B%90%EC%8B%9C%EC%9E%90%EB%A3%8C+%EC%A1%B0%ED%9A%8C&amp;seqApi=5&amp;seqApiSub=264</x:v>
      </x:c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42" customHeight="1">
      <x:c r="A30" s="8" t="str">
        <x:v>S14</x:v>
      </x:c>
      <x:c r="B30" s="8" t="str">
        <x:v>기상청 APIHub 이용안내</x:v>
      </x:c>
      <x:c r="C30" s="8" t="str">
        <x:v>일반회원 하루 20,000회·5GB.</x:v>
      </x:c>
      <x:c r="D30" s="8" t="str">
        <x:v>https://apihub.kma.go.kr/apiInfo.do</x:v>
      </x:c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42" customHeight="1">
      <x:c r="A31" s="8" t="str">
        <x:v>S15</x:v>
      </x:c>
      <x:c r="B31" s="8" t="str">
        <x:v>국립해양조사원 조류예보(시계열)</x:v>
      </x:c>
      <x:c r="C31" s="8" t="str">
        <x:v>약 200개 예보 지점의 유향·유속 시계열. 연 1회 갱신.</x:v>
      </x:c>
      <x:c r="D31" s="8" t="str">
        <x:v>https://www.data.go.kr/data/15156024/openapi.do</x:v>
      </x:c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42" customHeight="1">
      <x:c r="A32" s="8" t="str">
        <x:v>S16</x:v>
      </x:c>
      <x:c r="B32" s="8" t="str">
        <x:v>해양수산부 이안류 감시 보도자료</x:v>
      </x:c>
      <x:c r="C32" s="8" t="str">
        <x:v>주요 10개 해수욕장·개장기간 운영.</x:v>
      </x:c>
      <x:c r="D32" s="8" t="str">
        <x:v>https://www.mof.go.kr/doc/ko/selectDoc.do?bbsSeq=10&amp;docSeq=57128&amp;menuSeq=971&amp;pWiseMain=N2&amp;pwise=mMain</x:v>
      </x:c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42" customHeight="1">
      <x:c r="A33" s="8" t="str">
        <x:v>S17</x:v>
      </x:c>
      <x:c r="B33" s="8" t="str">
        <x:v>기상청 동네예보 격자영역 정보</x:v>
      </x:c>
      <x:c r="C33" s="8" t="str">
        <x:v>동서 149×남북 253의 5km 격자, Lambert 투영 및 변환 기준.</x:v>
      </x:c>
      <x:c r="D33" s="8" t="str">
        <x:v>https://apihub.kma.go.kr/getAttachFile.do?fileName=%2820240305%29%EB%8F%99%EB%84%A4%EC%98%88%EB%B3%B4+%EA%B2%A9%EC%9E%90%EC%98%81%EC%97%AD+%EC%A0%95%EB%B3%B4.pdf</x:v>
      </x:c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42" customHeight="1">
      <x:c r="A34" s="8" t="str">
        <x:v>S18</x:v>
      </x:c>
      <x:c r="B34" s="8" t="str">
        <x:v>저장소 제공처별 예상 예산</x:v>
      </x:c>
      <x:c r="C34" s="8" t="str">
        <x:v>현재 경로의 겨울 APIHub 필수 3.842GB, 재시도 예약 0.400GB를 공식 5GB와 비교.</x:v>
      </x:c>
      <x:c r="D34" s="8" t="str">
        <x:v>docs/전체_수정사항_및_반영상태_20261010.md</x:v>
      </x:c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64" customHeight="1">
      <x:c r="A35" s="8" t="str">
        <x:v>구역 차이</x:v>
      </x:c>
      <x:c r="B35" s="8" t="str">
        <x:v>API 지점·해수욕장·시설·광역 해역·해양모델 bbox는 기상청 nx/ny 5km 셀과 범위·해상도가 다르다. 위치를 셀에 연결하는 것은 셀 전체의 동일 실측값을 뜻하지 않는다.</x:v>
      </x:c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64" customHeight="1">
      <x:c r="A36" s="8" t="str">
        <x:v>운영계정</x:v>
      </x:c>
      <x:c r="B36" s="8" t="str">
        <x:v>K-water 해당 API는 운영단계 자동승인과 활용사례 등록 후 트래픽 증가 신청을 안내하지만 운영계정의 고정 일일 횟수는 공개하지 않는다. 실제 승인된 숫자를 입력해 판정해야 한다. 포털 운영계정과 APIHub 회원 등급은 별개다.</x:v>
      </x:c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64" customHeight="1">
      <x:c r="A37" s="8" t="str">
        <x:v>한도 초과 대안</x:v>
      </x:c>
      <x:c r="B37" s="8" t="str">
        <x:v>하천 100곳 10분 수집은 14,400회/일로 개발 10,000회 초과. 운영계정에서 최소 14,400회+페이지·재시도 여유를 승인받으면 가능. APIHub 낙뢰 2MB/회 가정은 공식 5GB 한도 내라 포털 운영계정 변경이 필요 없다.</x:v>
      </x:c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55" customHeight="1">
      <x:c r="A39" s="8" t="str">
        <x:v>S19</x:v>
      </x:c>
      <x:c r="B39" s="8" t="str">
        <x:v>부산광역시 해운대해수욕장</x:v>
      </x:c>
      <x:c r="C39" s="8" t="str">
        <x:v>해변 길이 약 1.5km. 5km 격자 한 변과 비교하면 약 30%; 해변 위치와 실제 격자 경계의 중첩은 별도 확인 필요.</x:v>
      </x:c>
      <x:c r="D39" s="8" t="str">
        <x:v>https://www.busan.go.kr/depart/ahhaewonndae</x:v>
      </x:c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55" customHeight="1">
      <x:c r="A40" s="8" t="str">
        <x:v>S20</x:v>
      </x:c>
      <x:c r="B40" s="8" t="str">
        <x:v>기상청 속초 지역 기후특성</x:v>
      </x:c>
      <x:c r="C40" s="8" t="str">
        <x:v>대청봉 해발 1,708m. 속초 관측소 고도와 비교한 높이 차이는 별도 S22를 함께 참고.</x:v>
      </x:c>
      <x:c r="D40" s="8" t="str">
        <x:v>https://www.weather.go.kr/w/climate/statistics/region.do?area=2</x:v>
      </x:c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55" customHeight="1">
      <x:c r="A41" s="8" t="str">
        <x:v>S21</x:v>
      </x:c>
      <x:c r="B41" s="8" t="str">
        <x:v>K-water 수위관측소 현황</x:v>
      </x:c>
      <x:c r="C41" s="8" t="str">
        <x:v>안동댐·안동댐방수로는 각각 등록된 관측 지점. 실제 우량수위 API 포함 여부와 지점코드는 활용 전 확인 필요.</x:v>
      </x:c>
      <x:c r="D41" s="8" t="str">
        <x:v>https://www.kwater.or.kr/download/water/info_stat01.pdf</x:v>
      </x:c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55" customHeight="1">
      <x:c r="A42" s="8" t="str">
        <x:v>S22</x:v>
      </x:c>
      <x:c r="B42" s="8" t="str">
        <x:v>기상청 지역별 상세관측</x:v>
      </x:c>
      <x:c r="C42" s="8" t="str">
        <x:v>속초 ASOS 관측소의 해발고도 약 18m. 대청봉과의 높이 차이는 관측 환경 차이를 보여주는 예시다.</x:v>
      </x:c>
      <x:c r="D42" s="8" t="str">
        <x:v>https://www.weather.go.kr/w/weather/land/aws-obs.do?config=&amp;db=MINDB_01M&amp;sidoCode=asos&amp;sort=&amp;stnId=0&amp;tm=</x:v>
      </x:c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64" customHeight="1">
      <x:c r="A43" s="8" t="str">
        <x:v>면적 비교 주의</x:v>
      </x:c>
      <x:c r="B43" s="8" t="str">
        <x:v>5×5km≈25㎢는 격자 규모의 대략값이다. 점·하천 단면 관측에는 같은 의미의 면적이 없으므로 면적 배수를 계산하지 않는다. 해운대 30%는 해변 길이와 격자 한 변만 비교한 값이다.</x:v>
      </x:c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</x:row>
  </x:sheetData>
  <x:pageMargins left="0.7" right="0.7" top="0.75" bottom="0.75" header="0.3" footer="0.3"/>
</x:worksheet>
</file>